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ssumptions" sheetId="1" state="visible" r:id="rId1"/>
    <sheet name="LBO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;(#,##0.0);&quot;-&quot;"/>
    <numFmt numFmtId="165" formatCode="0.0%;(0.0%);&quot;-&quot;"/>
    <numFmt numFmtId="166" formatCode="0.00&quot;x&quot;;(0.00&quot;x&quot;);&quot;-&quot;"/>
    <numFmt numFmtId="167" formatCode="0.000000;0.000000;&quot;OK&quot;"/>
    <numFmt numFmtId="168" formatCode="&quot;Year &quot;0;;&quot;Entry&quot;"/>
    <numFmt numFmtId="169" formatCode="&quot;Yes&quot;;;&quot;No&quot;"/>
    <numFmt numFmtId="170" formatCode="0&quot; yrs&quot;"/>
    <numFmt numFmtId="171" formatCode="+0.0&quot;x&quot;;-0.0&quot;x&quot;;&quot;base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7F7F7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rgb="00FFFFFF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6" fillId="0" borderId="0" pivotButton="0" quotePrefix="0" xfId="0"/>
    <xf numFmtId="0" fontId="5" fillId="0" borderId="0" pivotButton="0" quotePrefix="0" xfId="0"/>
    <xf numFmtId="164" fontId="6" fillId="4" borderId="0" pivotButton="0" quotePrefix="0" xfId="0"/>
    <xf numFmtId="165" fontId="4" fillId="0" borderId="0" pivotButton="0" quotePrefix="0" xfId="0"/>
    <xf numFmtId="166" fontId="6" fillId="4" borderId="0" pivotButton="0" quotePrefix="0" xfId="0"/>
    <xf numFmtId="165" fontId="6" fillId="4" borderId="0" pivotButton="0" quotePrefix="0" xfId="0"/>
    <xf numFmtId="165" fontId="6" fillId="0" borderId="0" pivotButton="0" quotePrefix="0" xfId="0"/>
    <xf numFmtId="166" fontId="6" fillId="0" borderId="0" pivotButton="0" quotePrefix="0" xfId="0"/>
    <xf numFmtId="1" fontId="6" fillId="4" borderId="0" pivotButton="0" quotePrefix="0" xfId="0"/>
    <xf numFmtId="0" fontId="3" fillId="0" borderId="0" applyAlignment="1" pivotButton="0" quotePrefix="0" xfId="0">
      <alignment horizontal="right"/>
    </xf>
    <xf numFmtId="166" fontId="3" fillId="0" borderId="0" pivotButton="0" quotePrefix="0" xfId="0"/>
    <xf numFmtId="165" fontId="3" fillId="0" borderId="0" pivotButton="0" quotePrefix="0" xfId="0"/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164" fontId="7" fillId="0" borderId="0" pivotButton="0" quotePrefix="0" xfId="0"/>
    <xf numFmtId="166" fontId="7" fillId="0" borderId="0" pivotButton="0" quotePrefix="0" xfId="0"/>
    <xf numFmtId="164" fontId="4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164" fontId="3" fillId="0" borderId="1" pivotButton="0" quotePrefix="0" xfId="0"/>
    <xf numFmtId="167" fontId="2" fillId="0" borderId="0" pivotButton="0" quotePrefix="0" xfId="0"/>
    <xf numFmtId="168" fontId="8" fillId="2" borderId="0" pivotButton="0" quotePrefix="0" xfId="0"/>
    <xf numFmtId="169" fontId="2" fillId="0" borderId="0" pivotButton="0" quotePrefix="0" xfId="0"/>
    <xf numFmtId="164" fontId="9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4" fontId="9" fillId="0" borderId="1" pivotButton="0" quotePrefix="0" xfId="0"/>
    <xf numFmtId="166" fontId="4" fillId="0" borderId="0" pivotButton="0" quotePrefix="0" xfId="0"/>
    <xf numFmtId="1" fontId="7" fillId="0" borderId="0" pivotButton="0" quotePrefix="0" xfId="0"/>
    <xf numFmtId="166" fontId="3" fillId="4" borderId="1" pivotButton="0" quotePrefix="0" xfId="0"/>
    <xf numFmtId="165" fontId="3" fillId="4" borderId="1" pivotButton="0" quotePrefix="0" xfId="0"/>
    <xf numFmtId="170" fontId="10" fillId="0" borderId="0" applyAlignment="1" pivotButton="0" quotePrefix="0" xfId="0">
      <alignment horizontal="right"/>
    </xf>
    <xf numFmtId="171" fontId="6" fillId="0" borderId="0" pivotButton="0" quotePrefix="0" xfId="0"/>
    <xf numFmtId="165" fontId="4" fillId="0" borderId="0" applyAlignment="1" pivotButton="0" quotePrefix="0" xfId="0">
      <alignment horizontal="right"/>
    </xf>
    <xf numFmtId="164" fontId="5" fillId="0" borderId="0" pivotButton="0" quotePrefix="0" xfId="0"/>
    <xf numFmtId="164" fontId="7" fillId="0" borderId="0" applyAlignment="1" pivotButton="0" quotePrefix="0" xfId="0">
      <alignment horizontal="left"/>
    </xf>
    <xf numFmtId="166" fontId="5" fillId="0" borderId="0" pivotButton="0" quotePrefix="0" xfId="0"/>
    <xf numFmtId="166" fontId="7" fillId="0" borderId="0" applyAlignment="1" pivotButton="0" quotePrefix="0" xfId="0">
      <alignment horizontal="left"/>
    </xf>
    <xf numFmtId="165" fontId="5" fillId="0" borderId="0" pivotButton="0" quotePrefix="0" xfId="0"/>
    <xf numFmtId="165" fontId="7" fillId="0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008000"/>
      </font>
    </dxf>
    <dxf>
      <font>
        <name val="Arial"/>
        <color rgb="00BFBFBF"/>
      </font>
    </dxf>
    <dxf>
      <fill>
        <patternFill patternType="solid">
          <f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20" customWidth="1" min="3" max="3"/>
    <col width="12" customWidth="1" min="4" max="4"/>
    <col width="110" customWidth="1" min="5" max="5"/>
  </cols>
  <sheetData>
    <row r="1">
      <c r="A1" s="1" t="inlineStr">
        <is>
          <t>Progetto Valvole Italia — LBO assumptions</t>
        </is>
      </c>
      <c r="B1" s="2" t="n"/>
      <c r="C1" s="2" t="n"/>
      <c r="D1" s="2" t="n"/>
      <c r="E1" s="2" t="n"/>
    </row>
    <row r="2">
      <c r="A2" s="3" t="inlineStr">
        <is>
          <t>Legend: blue = input (change freely, the LBO sheet recalculates) · black = formula · yellow = key assumption. Source: provided = stated in the description · estimated = Claude's estimate · derived = computed from other inputs · adjusted = changed by a guardrail · scenario = changed by the agent for this scenario.</t>
        </is>
      </c>
    </row>
    <row r="4">
      <c r="A4" s="4" t="inlineStr">
        <is>
          <t>Assumption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</t>
        </is>
      </c>
      <c r="E4" s="4" t="inlineStr">
        <is>
          <t>Rationale / guardrail notes</t>
        </is>
      </c>
    </row>
    <row r="6">
      <c r="A6" s="5" t="inlineStr">
        <is>
          <t>Transaction</t>
        </is>
      </c>
    </row>
    <row r="7">
      <c r="A7" s="6" t="inlineStr">
        <is>
          <t>LTM revenue at closing</t>
        </is>
      </c>
      <c r="B7" s="7" t="n">
        <v>320</v>
      </c>
      <c r="C7" s="8" t="inlineStr">
        <is>
          <t>EUR mm</t>
        </is>
      </c>
      <c r="D7" s="6" t="inlineStr">
        <is>
          <t>provided</t>
        </is>
      </c>
      <c r="E7" s="6" t="inlineStr">
        <is>
          <t>Fatturato di 320 milioni di euro indicato esplicitamente nella descrizione.</t>
        </is>
      </c>
    </row>
    <row r="8">
      <c r="A8" s="6" t="inlineStr">
        <is>
          <t>LTM EBITDA at closing (sizes price and debt)</t>
        </is>
      </c>
      <c r="B8" s="9" t="n">
        <v>44.8</v>
      </c>
      <c r="C8" s="8" t="inlineStr">
        <is>
          <t>EUR mm</t>
        </is>
      </c>
      <c r="D8" s="6" t="inlineStr">
        <is>
          <t>derived</t>
        </is>
      </c>
      <c r="E8" s="6" t="inlineStr">
        <is>
          <t>Calcolato come 320 milioni x 14% di margine EBITDA stimato per un produttore di valvole con componenti critiche.</t>
        </is>
      </c>
    </row>
    <row r="9">
      <c r="A9" s="6" t="inlineStr">
        <is>
          <t>LTM EBITDA margin (memo)</t>
        </is>
      </c>
      <c r="B9" s="10">
        <f>B8/B7</f>
        <v/>
      </c>
      <c r="C9" s="8" t="inlineStr">
        <is>
          <t>% of revenue</t>
        </is>
      </c>
      <c r="D9" s="6" t="inlineStr">
        <is>
          <t>derived</t>
        </is>
      </c>
    </row>
    <row r="10">
      <c r="A10" s="6" t="inlineStr">
        <is>
          <t>Entry EV / LTM EBITDA</t>
        </is>
      </c>
      <c r="B10" s="11" t="n">
        <v>8</v>
      </c>
      <c r="C10" s="8" t="inlineStr">
        <is>
          <t>x</t>
        </is>
      </c>
      <c r="D10" s="6" t="inlineStr">
        <is>
          <t>estimated</t>
        </is>
      </c>
      <c r="E10" s="6" t="inlineStr">
        <is>
          <t>Centro del range industrials (7-10x): buona nicchia tecnica ma ciclicità oil&amp;gas e concentrazione clienti giustificano un multiplo non aggressivo.</t>
        </is>
      </c>
    </row>
    <row r="12">
      <c r="A12" s="5" t="inlineStr">
        <is>
          <t>Operating plan (held flat over the projection)</t>
        </is>
      </c>
    </row>
    <row r="13">
      <c r="A13" s="6" t="inlineStr">
        <is>
          <t>EBITDA margin, projection years</t>
        </is>
      </c>
      <c r="B13" s="12" t="n">
        <v>0.14</v>
      </c>
      <c r="C13" s="8" t="inlineStr">
        <is>
          <t>% of revenue</t>
        </is>
      </c>
      <c r="D13" s="6" t="inlineStr">
        <is>
          <t>estimated</t>
        </is>
      </c>
      <c r="E13" s="6" t="inlineStr">
        <is>
          <t>Parte centrale del range industrials (10-20%): valvole per oil&amp;gas hanno contenuto tecnico e after-market, ma il mix con utilities e la concorrenza su gara limitano la marginalità.</t>
        </is>
      </c>
    </row>
    <row r="14">
      <c r="A14" s="6" t="inlineStr">
        <is>
          <t>Revenue growth p.a.</t>
        </is>
      </c>
      <c r="B14" s="12" t="n">
        <v>0.03</v>
      </c>
      <c r="C14" s="8" t="inlineStr">
        <is>
          <t>%</t>
        </is>
      </c>
      <c r="D14" s="6" t="inlineStr">
        <is>
          <t>estimated</t>
        </is>
      </c>
      <c r="E14" s="6" t="inlineStr">
        <is>
          <t>Crescita moderata (3%) coerente con capex di utilities e ciclo oil&amp;gas maturo, in linea con il range industrials 2-6%.</t>
        </is>
      </c>
    </row>
    <row r="15">
      <c r="A15" s="6" t="inlineStr">
        <is>
          <t>Capex</t>
        </is>
      </c>
      <c r="B15" s="13" t="n">
        <v>0.035</v>
      </c>
      <c r="C15" s="8" t="inlineStr">
        <is>
          <t>% of revenue</t>
        </is>
      </c>
      <c r="D15" s="6" t="inlineStr">
        <is>
          <t>estimated</t>
        </is>
      </c>
      <c r="E15" s="6" t="inlineStr">
        <is>
          <t>Quattro stabilimenti con lavorazioni meccaniche e collaudi richiedono capex di mantenimento medio, centro del range 2,5-5%.</t>
        </is>
      </c>
    </row>
    <row r="16">
      <c r="A16" s="6" t="inlineStr">
        <is>
          <t>D&amp;A</t>
        </is>
      </c>
      <c r="B16" s="13" t="n">
        <v>0.035</v>
      </c>
      <c r="C16" s="8" t="inlineStr">
        <is>
          <t>% of revenue</t>
        </is>
      </c>
      <c r="D16" s="6" t="inlineStr">
        <is>
          <t>estimated</t>
        </is>
      </c>
      <c r="E16" s="6" t="inlineStr">
        <is>
          <t>Allineato al capex per un business manifatturiero a regime, nel range 2,5-4,5%.</t>
        </is>
      </c>
    </row>
    <row r="17">
      <c r="A17" s="6" t="inlineStr">
        <is>
          <t>Increase in NWC</t>
        </is>
      </c>
      <c r="B17" s="13" t="n">
        <v>0.22</v>
      </c>
      <c r="C17" s="8" t="inlineStr">
        <is>
          <t>% of revenue growth</t>
        </is>
      </c>
      <c r="D17" s="6" t="inlineStr">
        <is>
          <t>estimated</t>
        </is>
      </c>
      <c r="E17" s="6" t="inlineStr">
        <is>
          <t>Commesse lunghe, scorte di fusioni/forgiati e crediti verso EPC comportano un assorbimento di circolante elevato, parte alta del range 10-25%.</t>
        </is>
      </c>
    </row>
    <row r="19">
      <c r="A19" s="5" t="inlineStr">
        <is>
          <t>Financing</t>
        </is>
      </c>
    </row>
    <row r="20">
      <c r="A20" s="6" t="inlineStr">
        <is>
          <t>Total debt at entry</t>
        </is>
      </c>
      <c r="B20" s="11" t="n">
        <v>4.5</v>
      </c>
      <c r="C20" s="8" t="inlineStr">
        <is>
          <t>x EBITDA</t>
        </is>
      </c>
      <c r="D20" s="6" t="inlineStr">
        <is>
          <t>estimated</t>
        </is>
      </c>
      <c r="E20" s="6" t="inlineStr">
        <is>
          <t>Parte medio-bassa del range industrials (4-5,5x) per la ciclicità dell'esposizione oil&amp;gas e la natura a commessa dei ricavi.</t>
        </is>
      </c>
    </row>
    <row r="21">
      <c r="A21" s="6" t="inlineStr">
        <is>
          <t>of which Senior Term Loan</t>
        </is>
      </c>
      <c r="B21" s="14" t="n">
        <v>3.25</v>
      </c>
      <c r="C21" s="8" t="inlineStr">
        <is>
          <t>x EBITDA</t>
        </is>
      </c>
      <c r="D21" s="6" t="inlineStr">
        <is>
          <t>estimated</t>
        </is>
      </c>
      <c r="E21" s="6" t="inlineStr">
        <is>
          <t>Circa il 72% della leva totale in Term Loan, con il resto in subordinato: struttura standard per un mid-market italiano da ~45 milioni di EBITDA.</t>
        </is>
      </c>
    </row>
    <row r="22">
      <c r="A22" s="6" t="inlineStr">
        <is>
          <t>Term Loan interest rate</t>
        </is>
      </c>
      <c r="B22" s="13" t="n">
        <v>0.065</v>
      </c>
      <c r="C22" s="8" t="inlineStr">
        <is>
          <t>%</t>
        </is>
      </c>
      <c r="D22" s="6" t="inlineStr">
        <is>
          <t>estimated</t>
        </is>
      </c>
      <c r="E22" s="6" t="inlineStr">
        <is>
          <t>EURIBOR 2,0% più margine ~450bps, coerente con un emittente mid-market ciclico italiano.</t>
        </is>
      </c>
    </row>
    <row r="23">
      <c r="A23" s="6" t="inlineStr">
        <is>
          <t>Term Loan mandatory amortization</t>
        </is>
      </c>
      <c r="B23" s="13" t="n">
        <v>0.05</v>
      </c>
      <c r="C23" s="8" t="inlineStr">
        <is>
          <t>% of original p.a.</t>
        </is>
      </c>
      <c r="D23" s="6" t="inlineStr">
        <is>
          <t>estimated</t>
        </is>
      </c>
      <c r="E23" s="6" t="inlineStr">
        <is>
          <t>Ammortamento del 5% annuo del nominale, tipico per un term loan amortizing bancario italiano.</t>
        </is>
      </c>
    </row>
    <row r="24">
      <c r="A24" s="6" t="inlineStr">
        <is>
          <t>Cash sweep on Term Loan</t>
        </is>
      </c>
      <c r="B24" s="13" t="n">
        <v>0.75</v>
      </c>
      <c r="C24" s="8" t="inlineStr">
        <is>
          <t>% of surplus cash</t>
        </is>
      </c>
      <c r="D24" s="6" t="inlineStr">
        <is>
          <t>estimated</t>
        </is>
      </c>
      <c r="E24" s="6" t="inlineStr">
        <is>
          <t>Sweep del 75% del free cash flow eccedente, standard di mercato per strutture bancarie mid-market.</t>
        </is>
      </c>
    </row>
    <row r="25">
      <c r="A25" s="6" t="inlineStr">
        <is>
          <t>Subordinated Notes interest rate (bullet)</t>
        </is>
      </c>
      <c r="B25" s="13" t="n">
        <v>0.105</v>
      </c>
      <c r="C25" s="8" t="inlineStr">
        <is>
          <t>%</t>
        </is>
      </c>
      <c r="D25" s="6" t="inlineStr">
        <is>
          <t>estimated</t>
        </is>
      </c>
      <c r="E25" s="6" t="inlineStr">
        <is>
          <t>Circa 400bps sopra il senior, in linea con debito subordinato/mezzanino per emittenti industriali ciclici.</t>
        </is>
      </c>
    </row>
    <row r="26">
      <c r="A26" s="6" t="inlineStr">
        <is>
          <t>RCF commitment (undrawn at close)</t>
        </is>
      </c>
      <c r="B26" s="7" t="n">
        <v>22</v>
      </c>
      <c r="C26" s="8" t="inlineStr">
        <is>
          <t>EUR mm</t>
        </is>
      </c>
      <c r="D26" s="6" t="inlineStr">
        <is>
          <t>estimated</t>
        </is>
      </c>
      <c r="E26" s="6" t="inlineStr">
        <is>
          <t>Circa 0,5x EBITDA, necessario per finanziare i picchi di circolante legati alle commesse.</t>
        </is>
      </c>
    </row>
    <row r="27">
      <c r="A27" s="6" t="inlineStr">
        <is>
          <t>RCF interest rate</t>
        </is>
      </c>
      <c r="B27" s="13" t="n">
        <v>0.06</v>
      </c>
      <c r="C27" s="8" t="inlineStr">
        <is>
          <t>%</t>
        </is>
      </c>
      <c r="D27" s="6" t="inlineStr">
        <is>
          <t>estimated</t>
        </is>
      </c>
      <c r="E27" s="6" t="inlineStr">
        <is>
          <t>Prezzo leggermente inferiore al term loan, coerente con linee revolving garantite.</t>
        </is>
      </c>
    </row>
    <row r="29">
      <c r="A29" s="5" t="inlineStr">
        <is>
          <t>Tax and cash</t>
        </is>
      </c>
    </row>
    <row r="30">
      <c r="A30" s="6" t="inlineStr">
        <is>
          <t>Tax rate (no loss carry-forward)</t>
        </is>
      </c>
      <c r="B30" s="13" t="n">
        <v>0.28</v>
      </c>
      <c r="C30" s="8" t="inlineStr">
        <is>
          <t>%</t>
        </is>
      </c>
      <c r="D30" s="6" t="inlineStr">
        <is>
          <t>estimated</t>
        </is>
      </c>
      <c r="E30" s="6" t="inlineStr">
        <is>
          <t>Aliquota statutaria italiana IRES 24% più IRAP ~3,9%.</t>
        </is>
      </c>
    </row>
    <row r="31">
      <c r="A31" s="6" t="inlineStr">
        <is>
          <t>Minimum cash (funded at close, never swept)</t>
        </is>
      </c>
      <c r="B31" s="7" t="n">
        <v>6.4</v>
      </c>
      <c r="C31" s="8" t="inlineStr">
        <is>
          <t>EUR mm</t>
        </is>
      </c>
      <c r="D31" s="6" t="inlineStr">
        <is>
          <t>estimated</t>
        </is>
      </c>
      <c r="E31" s="6" t="inlineStr">
        <is>
          <t>Pari al 2% dei ricavi, cassa operativa minima per un gruppo manifatturiero multi-sito.</t>
        </is>
      </c>
    </row>
    <row r="33">
      <c r="A33" s="5" t="inlineStr">
        <is>
          <t>Exit</t>
        </is>
      </c>
    </row>
    <row r="34">
      <c r="A34" s="6" t="inlineStr">
        <is>
          <t>Holding period</t>
        </is>
      </c>
      <c r="B34" s="15" t="n">
        <v>5</v>
      </c>
      <c r="C34" s="8" t="inlineStr">
        <is>
          <t>years</t>
        </is>
      </c>
      <c r="D34" s="6" t="inlineStr">
        <is>
          <t>estimated</t>
        </is>
      </c>
      <c r="E34" s="6" t="inlineStr">
        <is>
          <t>Holding period standard di 5 anni, necessario per attraversare il ciclo oil&amp;gas e consolidare l'after-market.</t>
        </is>
      </c>
    </row>
    <row r="35">
      <c r="A35" s="6" t="inlineStr">
        <is>
          <t>Exit EV / EBITDA</t>
        </is>
      </c>
      <c r="B35" s="11" t="n">
        <v>7.5</v>
      </c>
      <c r="C35" s="8" t="inlineStr">
        <is>
          <t>x</t>
        </is>
      </c>
      <c r="D35" s="6" t="inlineStr">
        <is>
          <t>estimated</t>
        </is>
      </c>
      <c r="E35" s="6" t="inlineStr">
        <is>
          <t>Mezzo turn sotto l'ingresso per prudenza sul base case, data la ciclicità della domanda finale.</t>
        </is>
      </c>
    </row>
  </sheetData>
  <dataValidations count="1">
    <dataValidation sqref="B34" showDropDown="0" showInputMessage="0" showErrorMessage="1" allowBlank="0" errorTitle="Holding period" error="Whole number of years between 1 and 10 (projection length)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95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52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Progetto Valvole Italia — LBO model (EUR mm)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Every figure is a live formula driven by the Assumptions sheet. Interest on opening balances (no circularity). Greyed columns fall outside the holding period.</t>
        </is>
      </c>
    </row>
    <row r="3">
      <c r="A3" s="5" t="inlineStr">
        <is>
          <t>Model checks</t>
        </is>
      </c>
      <c r="C3" s="16">
        <f>IF(AND(ABS(C16)&lt;0.001,MAX($D$67:$M$67)&lt;0.001),"OK","ERROR")</f>
        <v/>
      </c>
      <c r="E3" s="16" t="inlineStr">
        <is>
          <t>MOIC</t>
        </is>
      </c>
      <c r="F3" s="17">
        <f>C80</f>
        <v/>
      </c>
      <c r="G3" s="16" t="inlineStr">
        <is>
          <t>IRR</t>
        </is>
      </c>
      <c r="H3" s="18">
        <f>C81</f>
        <v/>
      </c>
    </row>
    <row r="5">
      <c r="A5" s="4" t="inlineStr">
        <is>
          <t>Sources &amp; Uses</t>
        </is>
      </c>
      <c r="B5" s="19" t="n"/>
      <c r="C5" s="20" t="inlineStr">
        <is>
          <t>EUR mm</t>
        </is>
      </c>
      <c r="D5" s="20" t="inlineStr">
        <is>
          <t>x EBITDA</t>
        </is>
      </c>
      <c r="E5" s="20" t="inlineStr">
        <is>
          <t>% of total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</row>
    <row r="6">
      <c r="A6" s="6" t="inlineStr">
        <is>
          <t>LTM EBITDA at entry</t>
        </is>
      </c>
      <c r="C6" s="21">
        <f>Assumptions!$B$8</f>
        <v/>
      </c>
    </row>
    <row r="7">
      <c r="A7" s="6" t="inlineStr">
        <is>
          <t>Entry EV / EBITDA</t>
        </is>
      </c>
      <c r="C7" s="22">
        <f>Assumptions!$B$10</f>
        <v/>
      </c>
    </row>
    <row r="8">
      <c r="A8" s="6" t="inlineStr">
        <is>
          <t>Purchase of enterprise value</t>
        </is>
      </c>
      <c r="C8" s="23">
        <f>C6*C7</f>
        <v/>
      </c>
      <c r="D8" s="24">
        <f>C8/$C$6</f>
        <v/>
      </c>
      <c r="E8" s="25">
        <f>C8/$C$10</f>
        <v/>
      </c>
    </row>
    <row r="9">
      <c r="A9" s="6" t="inlineStr">
        <is>
          <t>Minimum cash funding</t>
        </is>
      </c>
      <c r="C9" s="21">
        <f>Assumptions!$B$31</f>
        <v/>
      </c>
      <c r="D9" s="24">
        <f>C9/$C$6</f>
        <v/>
      </c>
      <c r="E9" s="25">
        <f>C9/$C$10</f>
        <v/>
      </c>
    </row>
    <row r="10">
      <c r="A10" s="5" t="inlineStr">
        <is>
          <t>Total uses</t>
        </is>
      </c>
      <c r="C10" s="26">
        <f>C8+C9</f>
        <v/>
      </c>
      <c r="D10" s="24">
        <f>C10/$C$6</f>
        <v/>
      </c>
      <c r="E10" s="25">
        <f>C10/$C$10</f>
        <v/>
      </c>
    </row>
    <row r="12">
      <c r="A12" s="6" t="inlineStr">
        <is>
          <t>Senior Term Loan</t>
        </is>
      </c>
      <c r="C12" s="23">
        <f>C6*Assumptions!$B$21</f>
        <v/>
      </c>
      <c r="D12" s="24">
        <f>C12/$C$6</f>
        <v/>
      </c>
      <c r="E12" s="25">
        <f>C12/$C$10</f>
        <v/>
      </c>
    </row>
    <row r="13">
      <c r="A13" s="6" t="inlineStr">
        <is>
          <t>Subordinated Notes</t>
        </is>
      </c>
      <c r="C13" s="23">
        <f>C6*(Assumptions!$B$20-Assumptions!$B$21)</f>
        <v/>
      </c>
      <c r="D13" s="24">
        <f>C13/$C$6</f>
        <v/>
      </c>
      <c r="E13" s="25">
        <f>C13/$C$10</f>
        <v/>
      </c>
    </row>
    <row r="14">
      <c r="A14" s="6" t="inlineStr">
        <is>
          <t>Sponsor equity (plug)</t>
        </is>
      </c>
      <c r="C14" s="23">
        <f>C10-C12-C13</f>
        <v/>
      </c>
      <c r="D14" s="24">
        <f>C14/$C$6</f>
        <v/>
      </c>
      <c r="E14" s="25">
        <f>C14/$C$10</f>
        <v/>
      </c>
    </row>
    <row r="15">
      <c r="A15" s="5" t="inlineStr">
        <is>
          <t>Total sources</t>
        </is>
      </c>
      <c r="C15" s="26">
        <f>SUM(C12:C14)</f>
        <v/>
      </c>
      <c r="D15" s="24">
        <f>C15/$C$6</f>
        <v/>
      </c>
      <c r="E15" s="25">
        <f>C15/$C$10</f>
        <v/>
      </c>
    </row>
    <row r="16">
      <c r="A16" s="3" t="inlineStr">
        <is>
          <t>Check: sources - uses</t>
        </is>
      </c>
      <c r="C16" s="27">
        <f>C15-C10</f>
        <v/>
      </c>
    </row>
    <row r="18">
      <c r="A18" s="1" t="inlineStr">
        <is>
          <t>EUR mm</t>
        </is>
      </c>
      <c r="B18" s="2" t="n"/>
      <c r="C18" s="28" t="n">
        <v>0</v>
      </c>
      <c r="D18" s="28">
        <f>C18+1</f>
        <v/>
      </c>
      <c r="E18" s="28">
        <f>D18+1</f>
        <v/>
      </c>
      <c r="F18" s="28">
        <f>E18+1</f>
        <v/>
      </c>
      <c r="G18" s="28">
        <f>F18+1</f>
        <v/>
      </c>
      <c r="H18" s="28">
        <f>G18+1</f>
        <v/>
      </c>
      <c r="I18" s="28">
        <f>H18+1</f>
        <v/>
      </c>
      <c r="J18" s="28">
        <f>I18+1</f>
        <v/>
      </c>
      <c r="K18" s="28">
        <f>J18+1</f>
        <v/>
      </c>
      <c r="L18" s="28">
        <f>K18+1</f>
        <v/>
      </c>
      <c r="M18" s="28">
        <f>L18+1</f>
        <v/>
      </c>
    </row>
    <row r="19">
      <c r="A19" s="3" t="inlineStr">
        <is>
          <t>In holding period</t>
        </is>
      </c>
      <c r="D19" s="29">
        <f>IF(D18&lt;=Assumptions!$B$34,1,0)</f>
        <v/>
      </c>
      <c r="E19" s="29">
        <f>IF(E18&lt;=Assumptions!$B$34,1,0)</f>
        <v/>
      </c>
      <c r="F19" s="29">
        <f>IF(F18&lt;=Assumptions!$B$34,1,0)</f>
        <v/>
      </c>
      <c r="G19" s="29">
        <f>IF(G18&lt;=Assumptions!$B$34,1,0)</f>
        <v/>
      </c>
      <c r="H19" s="29">
        <f>IF(H18&lt;=Assumptions!$B$34,1,0)</f>
        <v/>
      </c>
      <c r="I19" s="29">
        <f>IF(I18&lt;=Assumptions!$B$34,1,0)</f>
        <v/>
      </c>
      <c r="J19" s="29">
        <f>IF(J18&lt;=Assumptions!$B$34,1,0)</f>
        <v/>
      </c>
      <c r="K19" s="29">
        <f>IF(K18&lt;=Assumptions!$B$34,1,0)</f>
        <v/>
      </c>
      <c r="L19" s="29">
        <f>IF(L18&lt;=Assumptions!$B$34,1,0)</f>
        <v/>
      </c>
      <c r="M19" s="29">
        <f>IF(M18&lt;=Assumptions!$B$34,1,0)</f>
        <v/>
      </c>
    </row>
    <row r="20">
      <c r="A20" s="4" t="inlineStr">
        <is>
          <t>Income statement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</row>
    <row r="21">
      <c r="A21" s="5" t="inlineStr">
        <is>
          <t>Revenue</t>
        </is>
      </c>
      <c r="C21" s="30">
        <f>Assumptions!$B$7</f>
        <v/>
      </c>
      <c r="D21" s="31">
        <f>C21*(1+Assumptions!$B$14)</f>
        <v/>
      </c>
      <c r="E21" s="31">
        <f>D21*(1+Assumptions!$B$14)</f>
        <v/>
      </c>
      <c r="F21" s="31">
        <f>E21*(1+Assumptions!$B$14)</f>
        <v/>
      </c>
      <c r="G21" s="31">
        <f>F21*(1+Assumptions!$B$14)</f>
        <v/>
      </c>
      <c r="H21" s="31">
        <f>G21*(1+Assumptions!$B$14)</f>
        <v/>
      </c>
      <c r="I21" s="31">
        <f>H21*(1+Assumptions!$B$14)</f>
        <v/>
      </c>
      <c r="J21" s="31">
        <f>I21*(1+Assumptions!$B$14)</f>
        <v/>
      </c>
      <c r="K21" s="31">
        <f>J21*(1+Assumptions!$B$14)</f>
        <v/>
      </c>
      <c r="L21" s="31">
        <f>K21*(1+Assumptions!$B$14)</f>
        <v/>
      </c>
      <c r="M21" s="31">
        <f>L21*(1+Assumptions!$B$14)</f>
        <v/>
      </c>
    </row>
    <row r="22">
      <c r="A22" s="3" t="inlineStr">
        <is>
          <t xml:space="preserve">  growth</t>
        </is>
      </c>
      <c r="D22" s="25">
        <f>D21/C21-1</f>
        <v/>
      </c>
      <c r="E22" s="25">
        <f>E21/D21-1</f>
        <v/>
      </c>
      <c r="F22" s="25">
        <f>F21/E21-1</f>
        <v/>
      </c>
      <c r="G22" s="25">
        <f>G21/F21-1</f>
        <v/>
      </c>
      <c r="H22" s="25">
        <f>H21/G21-1</f>
        <v/>
      </c>
      <c r="I22" s="25">
        <f>I21/H21-1</f>
        <v/>
      </c>
      <c r="J22" s="25">
        <f>J21/I21-1</f>
        <v/>
      </c>
      <c r="K22" s="25">
        <f>K21/J21-1</f>
        <v/>
      </c>
      <c r="L22" s="25">
        <f>L21/K21-1</f>
        <v/>
      </c>
      <c r="M22" s="25">
        <f>M21/L21-1</f>
        <v/>
      </c>
    </row>
    <row r="23">
      <c r="A23" s="5" t="inlineStr">
        <is>
          <t>EBITDA</t>
        </is>
      </c>
      <c r="C23" s="30">
        <f>Assumptions!$B$8</f>
        <v/>
      </c>
      <c r="D23" s="31">
        <f>D21*Assumptions!$B$13</f>
        <v/>
      </c>
      <c r="E23" s="31">
        <f>E21*Assumptions!$B$13</f>
        <v/>
      </c>
      <c r="F23" s="31">
        <f>F21*Assumptions!$B$13</f>
        <v/>
      </c>
      <c r="G23" s="31">
        <f>G21*Assumptions!$B$13</f>
        <v/>
      </c>
      <c r="H23" s="31">
        <f>H21*Assumptions!$B$13</f>
        <v/>
      </c>
      <c r="I23" s="31">
        <f>I21*Assumptions!$B$13</f>
        <v/>
      </c>
      <c r="J23" s="31">
        <f>J21*Assumptions!$B$13</f>
        <v/>
      </c>
      <c r="K23" s="31">
        <f>K21*Assumptions!$B$13</f>
        <v/>
      </c>
      <c r="L23" s="31">
        <f>L21*Assumptions!$B$13</f>
        <v/>
      </c>
      <c r="M23" s="31">
        <f>M21*Assumptions!$B$13</f>
        <v/>
      </c>
    </row>
    <row r="24">
      <c r="A24" s="3" t="inlineStr">
        <is>
          <t xml:space="preserve">  margin</t>
        </is>
      </c>
      <c r="C24" s="25">
        <f>C23/C21</f>
        <v/>
      </c>
      <c r="D24" s="25">
        <f>D23/D21</f>
        <v/>
      </c>
      <c r="E24" s="25">
        <f>E23/E21</f>
        <v/>
      </c>
      <c r="F24" s="25">
        <f>F23/F21</f>
        <v/>
      </c>
      <c r="G24" s="25">
        <f>G23/G21</f>
        <v/>
      </c>
      <c r="H24" s="25">
        <f>H23/H21</f>
        <v/>
      </c>
      <c r="I24" s="25">
        <f>I23/I21</f>
        <v/>
      </c>
      <c r="J24" s="25">
        <f>J23/J21</f>
        <v/>
      </c>
      <c r="K24" s="25">
        <f>K23/K21</f>
        <v/>
      </c>
      <c r="L24" s="25">
        <f>L23/L21</f>
        <v/>
      </c>
      <c r="M24" s="25">
        <f>M23/M21</f>
        <v/>
      </c>
    </row>
    <row r="25">
      <c r="A25" s="6" t="inlineStr">
        <is>
          <t>Less: D&amp;A</t>
        </is>
      </c>
      <c r="D25" s="23">
        <f>D21*Assumptions!$B$16</f>
        <v/>
      </c>
      <c r="E25" s="23">
        <f>E21*Assumptions!$B$16</f>
        <v/>
      </c>
      <c r="F25" s="23">
        <f>F21*Assumptions!$B$16</f>
        <v/>
      </c>
      <c r="G25" s="23">
        <f>G21*Assumptions!$B$16</f>
        <v/>
      </c>
      <c r="H25" s="23">
        <f>H21*Assumptions!$B$16</f>
        <v/>
      </c>
      <c r="I25" s="23">
        <f>I21*Assumptions!$B$16</f>
        <v/>
      </c>
      <c r="J25" s="23">
        <f>J21*Assumptions!$B$16</f>
        <v/>
      </c>
      <c r="K25" s="23">
        <f>K21*Assumptions!$B$16</f>
        <v/>
      </c>
      <c r="L25" s="23">
        <f>L21*Assumptions!$B$16</f>
        <v/>
      </c>
      <c r="M25" s="23">
        <f>M21*Assumptions!$B$16</f>
        <v/>
      </c>
    </row>
    <row r="26">
      <c r="A26" s="5" t="inlineStr">
        <is>
          <t>EBIT</t>
        </is>
      </c>
      <c r="D26" s="26">
        <f>D23-D25</f>
        <v/>
      </c>
      <c r="E26" s="26">
        <f>E23-E25</f>
        <v/>
      </c>
      <c r="F26" s="26">
        <f>F23-F25</f>
        <v/>
      </c>
      <c r="G26" s="26">
        <f>G23-G25</f>
        <v/>
      </c>
      <c r="H26" s="26">
        <f>H23-H25</f>
        <v/>
      </c>
      <c r="I26" s="26">
        <f>I23-I25</f>
        <v/>
      </c>
      <c r="J26" s="26">
        <f>J23-J25</f>
        <v/>
      </c>
      <c r="K26" s="26">
        <f>K23-K25</f>
        <v/>
      </c>
      <c r="L26" s="26">
        <f>L23-L25</f>
        <v/>
      </c>
      <c r="M26" s="26">
        <f>M23-M25</f>
        <v/>
      </c>
    </row>
    <row r="27">
      <c r="A27" s="6" t="inlineStr">
        <is>
          <t>Less: interest on Term Loan (opening balance)</t>
        </is>
      </c>
      <c r="D27" s="23">
        <f>C53*Assumptions!$B$22</f>
        <v/>
      </c>
      <c r="E27" s="23">
        <f>D53*Assumptions!$B$22</f>
        <v/>
      </c>
      <c r="F27" s="23">
        <f>E53*Assumptions!$B$22</f>
        <v/>
      </c>
      <c r="G27" s="23">
        <f>F53*Assumptions!$B$22</f>
        <v/>
      </c>
      <c r="H27" s="23">
        <f>G53*Assumptions!$B$22</f>
        <v/>
      </c>
      <c r="I27" s="23">
        <f>H53*Assumptions!$B$22</f>
        <v/>
      </c>
      <c r="J27" s="23">
        <f>I53*Assumptions!$B$22</f>
        <v/>
      </c>
      <c r="K27" s="23">
        <f>J53*Assumptions!$B$22</f>
        <v/>
      </c>
      <c r="L27" s="23">
        <f>K53*Assumptions!$B$22</f>
        <v/>
      </c>
      <c r="M27" s="23">
        <f>L53*Assumptions!$B$22</f>
        <v/>
      </c>
    </row>
    <row r="28">
      <c r="A28" s="6" t="inlineStr">
        <is>
          <t>Less: interest on Sub Notes (opening balance)</t>
        </is>
      </c>
      <c r="D28" s="23">
        <f>C54*Assumptions!$B$25</f>
        <v/>
      </c>
      <c r="E28" s="23">
        <f>D54*Assumptions!$B$25</f>
        <v/>
      </c>
      <c r="F28" s="23">
        <f>E54*Assumptions!$B$25</f>
        <v/>
      </c>
      <c r="G28" s="23">
        <f>F54*Assumptions!$B$25</f>
        <v/>
      </c>
      <c r="H28" s="23">
        <f>G54*Assumptions!$B$25</f>
        <v/>
      </c>
      <c r="I28" s="23">
        <f>H54*Assumptions!$B$25</f>
        <v/>
      </c>
      <c r="J28" s="23">
        <f>I54*Assumptions!$B$25</f>
        <v/>
      </c>
      <c r="K28" s="23">
        <f>J54*Assumptions!$B$25</f>
        <v/>
      </c>
      <c r="L28" s="23">
        <f>K54*Assumptions!$B$25</f>
        <v/>
      </c>
      <c r="M28" s="23">
        <f>L54*Assumptions!$B$25</f>
        <v/>
      </c>
    </row>
    <row r="29">
      <c r="A29" s="6" t="inlineStr">
        <is>
          <t>Less: interest on RCF (opening balance)</t>
        </is>
      </c>
      <c r="D29" s="23">
        <f>C58*Assumptions!$B$27</f>
        <v/>
      </c>
      <c r="E29" s="23">
        <f>D58*Assumptions!$B$27</f>
        <v/>
      </c>
      <c r="F29" s="23">
        <f>E58*Assumptions!$B$27</f>
        <v/>
      </c>
      <c r="G29" s="23">
        <f>F58*Assumptions!$B$27</f>
        <v/>
      </c>
      <c r="H29" s="23">
        <f>G58*Assumptions!$B$27</f>
        <v/>
      </c>
      <c r="I29" s="23">
        <f>H58*Assumptions!$B$27</f>
        <v/>
      </c>
      <c r="J29" s="23">
        <f>I58*Assumptions!$B$27</f>
        <v/>
      </c>
      <c r="K29" s="23">
        <f>J58*Assumptions!$B$27</f>
        <v/>
      </c>
      <c r="L29" s="23">
        <f>K58*Assumptions!$B$27</f>
        <v/>
      </c>
      <c r="M29" s="23">
        <f>L58*Assumptions!$B$27</f>
        <v/>
      </c>
    </row>
    <row r="30">
      <c r="A30" s="6" t="inlineStr">
        <is>
          <t>Total interest expense</t>
        </is>
      </c>
      <c r="D30" s="23">
        <f>SUM(D27:D29)</f>
        <v/>
      </c>
      <c r="E30" s="23">
        <f>SUM(E27:E29)</f>
        <v/>
      </c>
      <c r="F30" s="23">
        <f>SUM(F27:F29)</f>
        <v/>
      </c>
      <c r="G30" s="23">
        <f>SUM(G27:G29)</f>
        <v/>
      </c>
      <c r="H30" s="23">
        <f>SUM(H27:H29)</f>
        <v/>
      </c>
      <c r="I30" s="23">
        <f>SUM(I27:I29)</f>
        <v/>
      </c>
      <c r="J30" s="23">
        <f>SUM(J27:J29)</f>
        <v/>
      </c>
      <c r="K30" s="23">
        <f>SUM(K27:K29)</f>
        <v/>
      </c>
      <c r="L30" s="23">
        <f>SUM(L27:L29)</f>
        <v/>
      </c>
      <c r="M30" s="23">
        <f>SUM(M27:M29)</f>
        <v/>
      </c>
    </row>
    <row r="31">
      <c r="A31" s="5" t="inlineStr">
        <is>
          <t>EBT</t>
        </is>
      </c>
      <c r="D31" s="26">
        <f>D26-D30</f>
        <v/>
      </c>
      <c r="E31" s="26">
        <f>E26-E30</f>
        <v/>
      </c>
      <c r="F31" s="26">
        <f>F26-F30</f>
        <v/>
      </c>
      <c r="G31" s="26">
        <f>G26-G30</f>
        <v/>
      </c>
      <c r="H31" s="26">
        <f>H26-H30</f>
        <v/>
      </c>
      <c r="I31" s="26">
        <f>I26-I30</f>
        <v/>
      </c>
      <c r="J31" s="26">
        <f>J26-J30</f>
        <v/>
      </c>
      <c r="K31" s="26">
        <f>K26-K30</f>
        <v/>
      </c>
      <c r="L31" s="26">
        <f>L26-L30</f>
        <v/>
      </c>
      <c r="M31" s="26">
        <f>M26-M30</f>
        <v/>
      </c>
    </row>
    <row r="32">
      <c r="A32" s="6" t="inlineStr">
        <is>
          <t>Less: tax (none on losses)</t>
        </is>
      </c>
      <c r="D32" s="23">
        <f>MAX(D31,0)*Assumptions!$B$30</f>
        <v/>
      </c>
      <c r="E32" s="23">
        <f>MAX(E31,0)*Assumptions!$B$30</f>
        <v/>
      </c>
      <c r="F32" s="23">
        <f>MAX(F31,0)*Assumptions!$B$30</f>
        <v/>
      </c>
      <c r="G32" s="23">
        <f>MAX(G31,0)*Assumptions!$B$30</f>
        <v/>
      </c>
      <c r="H32" s="23">
        <f>MAX(H31,0)*Assumptions!$B$30</f>
        <v/>
      </c>
      <c r="I32" s="23">
        <f>MAX(I31,0)*Assumptions!$B$30</f>
        <v/>
      </c>
      <c r="J32" s="23">
        <f>MAX(J31,0)*Assumptions!$B$30</f>
        <v/>
      </c>
      <c r="K32" s="23">
        <f>MAX(K31,0)*Assumptions!$B$30</f>
        <v/>
      </c>
      <c r="L32" s="23">
        <f>MAX(L31,0)*Assumptions!$B$30</f>
        <v/>
      </c>
      <c r="M32" s="23">
        <f>MAX(M31,0)*Assumptions!$B$30</f>
        <v/>
      </c>
    </row>
    <row r="33">
      <c r="A33" s="5" t="inlineStr">
        <is>
          <t>Net income</t>
        </is>
      </c>
      <c r="D33" s="26">
        <f>D31-D32</f>
        <v/>
      </c>
      <c r="E33" s="26">
        <f>E31-E32</f>
        <v/>
      </c>
      <c r="F33" s="26">
        <f>F31-F32</f>
        <v/>
      </c>
      <c r="G33" s="26">
        <f>G31-G32</f>
        <v/>
      </c>
      <c r="H33" s="26">
        <f>H31-H32</f>
        <v/>
      </c>
      <c r="I33" s="26">
        <f>I31-I32</f>
        <v/>
      </c>
      <c r="J33" s="26">
        <f>J31-J32</f>
        <v/>
      </c>
      <c r="K33" s="26">
        <f>K31-K32</f>
        <v/>
      </c>
      <c r="L33" s="26">
        <f>L31-L32</f>
        <v/>
      </c>
      <c r="M33" s="26">
        <f>M31-M32</f>
        <v/>
      </c>
    </row>
    <row r="34">
      <c r="A34" s="4" t="inlineStr">
        <is>
          <t>Free cash flow</t>
        </is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</row>
    <row r="35">
      <c r="A35" s="6" t="inlineStr">
        <is>
          <t>Net income</t>
        </is>
      </c>
      <c r="D35" s="23">
        <f>D33</f>
        <v/>
      </c>
      <c r="E35" s="23">
        <f>E33</f>
        <v/>
      </c>
      <c r="F35" s="23">
        <f>F33</f>
        <v/>
      </c>
      <c r="G35" s="23">
        <f>G33</f>
        <v/>
      </c>
      <c r="H35" s="23">
        <f>H33</f>
        <v/>
      </c>
      <c r="I35" s="23">
        <f>I33</f>
        <v/>
      </c>
      <c r="J35" s="23">
        <f>J33</f>
        <v/>
      </c>
      <c r="K35" s="23">
        <f>K33</f>
        <v/>
      </c>
      <c r="L35" s="23">
        <f>L33</f>
        <v/>
      </c>
      <c r="M35" s="23">
        <f>M33</f>
        <v/>
      </c>
    </row>
    <row r="36">
      <c r="A36" s="6" t="inlineStr">
        <is>
          <t>Plus: D&amp;A</t>
        </is>
      </c>
      <c r="D36" s="23">
        <f>D25</f>
        <v/>
      </c>
      <c r="E36" s="23">
        <f>E25</f>
        <v/>
      </c>
      <c r="F36" s="23">
        <f>F25</f>
        <v/>
      </c>
      <c r="G36" s="23">
        <f>G25</f>
        <v/>
      </c>
      <c r="H36" s="23">
        <f>H25</f>
        <v/>
      </c>
      <c r="I36" s="23">
        <f>I25</f>
        <v/>
      </c>
      <c r="J36" s="23">
        <f>J25</f>
        <v/>
      </c>
      <c r="K36" s="23">
        <f>K25</f>
        <v/>
      </c>
      <c r="L36" s="23">
        <f>L25</f>
        <v/>
      </c>
      <c r="M36" s="23">
        <f>M25</f>
        <v/>
      </c>
    </row>
    <row r="37">
      <c r="A37" s="6" t="inlineStr">
        <is>
          <t>Less: capex</t>
        </is>
      </c>
      <c r="D37" s="23">
        <f>D21*Assumptions!$B$15</f>
        <v/>
      </c>
      <c r="E37" s="23">
        <f>E21*Assumptions!$B$15</f>
        <v/>
      </c>
      <c r="F37" s="23">
        <f>F21*Assumptions!$B$15</f>
        <v/>
      </c>
      <c r="G37" s="23">
        <f>G21*Assumptions!$B$15</f>
        <v/>
      </c>
      <c r="H37" s="23">
        <f>H21*Assumptions!$B$15</f>
        <v/>
      </c>
      <c r="I37" s="23">
        <f>I21*Assumptions!$B$15</f>
        <v/>
      </c>
      <c r="J37" s="23">
        <f>J21*Assumptions!$B$15</f>
        <v/>
      </c>
      <c r="K37" s="23">
        <f>K21*Assumptions!$B$15</f>
        <v/>
      </c>
      <c r="L37" s="23">
        <f>L21*Assumptions!$B$15</f>
        <v/>
      </c>
      <c r="M37" s="23">
        <f>M21*Assumptions!$B$15</f>
        <v/>
      </c>
    </row>
    <row r="38">
      <c r="A38" s="6" t="inlineStr">
        <is>
          <t>Less: increase in NWC</t>
        </is>
      </c>
      <c r="D38" s="23">
        <f>(D21-C21)*Assumptions!$B$17</f>
        <v/>
      </c>
      <c r="E38" s="23">
        <f>(E21-D21)*Assumptions!$B$17</f>
        <v/>
      </c>
      <c r="F38" s="23">
        <f>(F21-E21)*Assumptions!$B$17</f>
        <v/>
      </c>
      <c r="G38" s="23">
        <f>(G21-F21)*Assumptions!$B$17</f>
        <v/>
      </c>
      <c r="H38" s="23">
        <f>(H21-G21)*Assumptions!$B$17</f>
        <v/>
      </c>
      <c r="I38" s="23">
        <f>(I21-H21)*Assumptions!$B$17</f>
        <v/>
      </c>
      <c r="J38" s="23">
        <f>(J21-I21)*Assumptions!$B$17</f>
        <v/>
      </c>
      <c r="K38" s="23">
        <f>(K21-J21)*Assumptions!$B$17</f>
        <v/>
      </c>
      <c r="L38" s="23">
        <f>(L21-K21)*Assumptions!$B$17</f>
        <v/>
      </c>
      <c r="M38" s="23">
        <f>(M21-L21)*Assumptions!$B$17</f>
        <v/>
      </c>
    </row>
    <row r="39">
      <c r="A39" s="5" t="inlineStr">
        <is>
          <t>Free cash flow</t>
        </is>
      </c>
      <c r="D39" s="26">
        <f>D35+D36-D37-D38</f>
        <v/>
      </c>
      <c r="E39" s="26">
        <f>E35+E36-E37-E38</f>
        <v/>
      </c>
      <c r="F39" s="26">
        <f>F35+F36-F37-F38</f>
        <v/>
      </c>
      <c r="G39" s="26">
        <f>G35+G36-G37-G38</f>
        <v/>
      </c>
      <c r="H39" s="26">
        <f>H35+H36-H37-H38</f>
        <v/>
      </c>
      <c r="I39" s="26">
        <f>I35+I36-I37-I38</f>
        <v/>
      </c>
      <c r="J39" s="26">
        <f>J35+J36-J37-J38</f>
        <v/>
      </c>
      <c r="K39" s="26">
        <f>K35+K36-K37-K38</f>
        <v/>
      </c>
      <c r="L39" s="26">
        <f>L35+L36-L37-L38</f>
        <v/>
      </c>
      <c r="M39" s="26">
        <f>M35+M36-M37-M38</f>
        <v/>
      </c>
    </row>
    <row r="40">
      <c r="A40" s="4" t="inlineStr">
        <is>
          <t>Cash waterfall</t>
        </is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</row>
    <row r="41">
      <c r="A41" s="6" t="inlineStr">
        <is>
          <t>Cash above minimum, opening</t>
        </is>
      </c>
      <c r="D41" s="23">
        <f>C60-Assumptions!$B$31</f>
        <v/>
      </c>
      <c r="E41" s="23">
        <f>D60-Assumptions!$B$31</f>
        <v/>
      </c>
      <c r="F41" s="23">
        <f>E60-Assumptions!$B$31</f>
        <v/>
      </c>
      <c r="G41" s="23">
        <f>F60-Assumptions!$B$31</f>
        <v/>
      </c>
      <c r="H41" s="23">
        <f>G60-Assumptions!$B$31</f>
        <v/>
      </c>
      <c r="I41" s="23">
        <f>H60-Assumptions!$B$31</f>
        <v/>
      </c>
      <c r="J41" s="23">
        <f>I60-Assumptions!$B$31</f>
        <v/>
      </c>
      <c r="K41" s="23">
        <f>J60-Assumptions!$B$31</f>
        <v/>
      </c>
      <c r="L41" s="23">
        <f>K60-Assumptions!$B$31</f>
        <v/>
      </c>
      <c r="M41" s="23">
        <f>L60-Assumptions!$B$31</f>
        <v/>
      </c>
    </row>
    <row r="42">
      <c r="A42" s="6" t="inlineStr">
        <is>
          <t>Plus: free cash flow</t>
        </is>
      </c>
      <c r="D42" s="23">
        <f>D39</f>
        <v/>
      </c>
      <c r="E42" s="23">
        <f>E39</f>
        <v/>
      </c>
      <c r="F42" s="23">
        <f>F39</f>
        <v/>
      </c>
      <c r="G42" s="23">
        <f>G39</f>
        <v/>
      </c>
      <c r="H42" s="23">
        <f>H39</f>
        <v/>
      </c>
      <c r="I42" s="23">
        <f>I39</f>
        <v/>
      </c>
      <c r="J42" s="23">
        <f>J39</f>
        <v/>
      </c>
      <c r="K42" s="23">
        <f>K39</f>
        <v/>
      </c>
      <c r="L42" s="23">
        <f>L39</f>
        <v/>
      </c>
      <c r="M42" s="23">
        <f>M39</f>
        <v/>
      </c>
    </row>
    <row r="43">
      <c r="A43" s="6" t="inlineStr">
        <is>
          <t>Less: Term Loan mandatory amortization</t>
        </is>
      </c>
      <c r="D43" s="23">
        <f>MIN($C$12*Assumptions!$B$23,C53)</f>
        <v/>
      </c>
      <c r="E43" s="23">
        <f>MIN($C$12*Assumptions!$B$23,D53)</f>
        <v/>
      </c>
      <c r="F43" s="23">
        <f>MIN($C$12*Assumptions!$B$23,E53)</f>
        <v/>
      </c>
      <c r="G43" s="23">
        <f>MIN($C$12*Assumptions!$B$23,F53)</f>
        <v/>
      </c>
      <c r="H43" s="23">
        <f>MIN($C$12*Assumptions!$B$23,G53)</f>
        <v/>
      </c>
      <c r="I43" s="23">
        <f>MIN($C$12*Assumptions!$B$23,H53)</f>
        <v/>
      </c>
      <c r="J43" s="23">
        <f>MIN($C$12*Assumptions!$B$23,I53)</f>
        <v/>
      </c>
      <c r="K43" s="23">
        <f>MIN($C$12*Assumptions!$B$23,J53)</f>
        <v/>
      </c>
      <c r="L43" s="23">
        <f>MIN($C$12*Assumptions!$B$23,K53)</f>
        <v/>
      </c>
      <c r="M43" s="23">
        <f>MIN($C$12*Assumptions!$B$23,L53)</f>
        <v/>
      </c>
    </row>
    <row r="44">
      <c r="A44" s="5" t="inlineStr">
        <is>
          <t>Cash available after mandatory debt service</t>
        </is>
      </c>
      <c r="D44" s="26">
        <f>D41+D42-D43</f>
        <v/>
      </c>
      <c r="E44" s="26">
        <f>E41+E42-E43</f>
        <v/>
      </c>
      <c r="F44" s="26">
        <f>F41+F42-F43</f>
        <v/>
      </c>
      <c r="G44" s="26">
        <f>G41+G42-G43</f>
        <v/>
      </c>
      <c r="H44" s="26">
        <f>H41+H42-H43</f>
        <v/>
      </c>
      <c r="I44" s="26">
        <f>I41+I42-I43</f>
        <v/>
      </c>
      <c r="J44" s="26">
        <f>J41+J42-J43</f>
        <v/>
      </c>
      <c r="K44" s="26">
        <f>K41+K42-K43</f>
        <v/>
      </c>
      <c r="L44" s="26">
        <f>L41+L42-L43</f>
        <v/>
      </c>
      <c r="M44" s="26">
        <f>M41+M42-M43</f>
        <v/>
      </c>
    </row>
    <row r="45">
      <c r="A45" s="6" t="inlineStr">
        <is>
          <t>RCF draw (covers a shortfall)</t>
        </is>
      </c>
      <c r="D45" s="23">
        <f>MAX(-D44,0)</f>
        <v/>
      </c>
      <c r="E45" s="23">
        <f>MAX(-E44,0)</f>
        <v/>
      </c>
      <c r="F45" s="23">
        <f>MAX(-F44,0)</f>
        <v/>
      </c>
      <c r="G45" s="23">
        <f>MAX(-G44,0)</f>
        <v/>
      </c>
      <c r="H45" s="23">
        <f>MAX(-H44,0)</f>
        <v/>
      </c>
      <c r="I45" s="23">
        <f>MAX(-I44,0)</f>
        <v/>
      </c>
      <c r="J45" s="23">
        <f>MAX(-J44,0)</f>
        <v/>
      </c>
      <c r="K45" s="23">
        <f>MAX(-K44,0)</f>
        <v/>
      </c>
      <c r="L45" s="23">
        <f>MAX(-L44,0)</f>
        <v/>
      </c>
      <c r="M45" s="23">
        <f>MAX(-M44,0)</f>
        <v/>
      </c>
    </row>
    <row r="46">
      <c r="A46" s="6" t="inlineStr">
        <is>
          <t>RCF repayment (first use of surplus)</t>
        </is>
      </c>
      <c r="D46" s="23">
        <f>MIN(MAX(D44,0),C58)</f>
        <v/>
      </c>
      <c r="E46" s="23">
        <f>MIN(MAX(E44,0),D58)</f>
        <v/>
      </c>
      <c r="F46" s="23">
        <f>MIN(MAX(F44,0),E58)</f>
        <v/>
      </c>
      <c r="G46" s="23">
        <f>MIN(MAX(G44,0),F58)</f>
        <v/>
      </c>
      <c r="H46" s="23">
        <f>MIN(MAX(H44,0),G58)</f>
        <v/>
      </c>
      <c r="I46" s="23">
        <f>MIN(MAX(I44,0),H58)</f>
        <v/>
      </c>
      <c r="J46" s="23">
        <f>MIN(MAX(J44,0),I58)</f>
        <v/>
      </c>
      <c r="K46" s="23">
        <f>MIN(MAX(K44,0),J58)</f>
        <v/>
      </c>
      <c r="L46" s="23">
        <f>MIN(MAX(L44,0),K58)</f>
        <v/>
      </c>
      <c r="M46" s="23">
        <f>MIN(MAX(M44,0),L58)</f>
        <v/>
      </c>
    </row>
    <row r="47">
      <c r="A47" s="6" t="inlineStr">
        <is>
          <t>Term Loan cash sweep</t>
        </is>
      </c>
      <c r="D47" s="23">
        <f>MIN((MAX(D44,0)-D46)*Assumptions!$B$24,C53-D43)</f>
        <v/>
      </c>
      <c r="E47" s="23">
        <f>MIN((MAX(E44,0)-E46)*Assumptions!$B$24,D53-E43)</f>
        <v/>
      </c>
      <c r="F47" s="23">
        <f>MIN((MAX(F44,0)-F46)*Assumptions!$B$24,E53-F43)</f>
        <v/>
      </c>
      <c r="G47" s="23">
        <f>MIN((MAX(G44,0)-G46)*Assumptions!$B$24,F53-G43)</f>
        <v/>
      </c>
      <c r="H47" s="23">
        <f>MIN((MAX(H44,0)-H46)*Assumptions!$B$24,G53-H43)</f>
        <v/>
      </c>
      <c r="I47" s="23">
        <f>MIN((MAX(I44,0)-I46)*Assumptions!$B$24,H53-I43)</f>
        <v/>
      </c>
      <c r="J47" s="23">
        <f>MIN((MAX(J44,0)-J46)*Assumptions!$B$24,I53-J43)</f>
        <v/>
      </c>
      <c r="K47" s="23">
        <f>MIN((MAX(K44,0)-K46)*Assumptions!$B$24,J53-K43)</f>
        <v/>
      </c>
      <c r="L47" s="23">
        <f>MIN((MAX(L44,0)-L46)*Assumptions!$B$24,K53-L43)</f>
        <v/>
      </c>
      <c r="M47" s="23">
        <f>MIN((MAX(M44,0)-M46)*Assumptions!$B$24,L53-M43)</f>
        <v/>
      </c>
    </row>
    <row r="48">
      <c r="A48" s="6" t="inlineStr">
        <is>
          <t>Surplus cash retained on balance sheet</t>
        </is>
      </c>
      <c r="D48" s="23">
        <f>MAX(D44,0)-D46-D47</f>
        <v/>
      </c>
      <c r="E48" s="23">
        <f>MAX(E44,0)-E46-E47</f>
        <v/>
      </c>
      <c r="F48" s="23">
        <f>MAX(F44,0)-F46-F47</f>
        <v/>
      </c>
      <c r="G48" s="23">
        <f>MAX(G44,0)-G46-G47</f>
        <v/>
      </c>
      <c r="H48" s="23">
        <f>MAX(H44,0)-H46-H47</f>
        <v/>
      </c>
      <c r="I48" s="23">
        <f>MAX(I44,0)-I46-I47</f>
        <v/>
      </c>
      <c r="J48" s="23">
        <f>MAX(J44,0)-J46-J47</f>
        <v/>
      </c>
      <c r="K48" s="23">
        <f>MAX(K44,0)-K46-K47</f>
        <v/>
      </c>
      <c r="L48" s="23">
        <f>MAX(L44,0)-L46-L47</f>
        <v/>
      </c>
      <c r="M48" s="23">
        <f>MAX(M44,0)-M46-M47</f>
        <v/>
      </c>
    </row>
    <row r="49">
      <c r="A49" s="4" t="inlineStr">
        <is>
          <t>Debt schedule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</row>
    <row r="50">
      <c r="A50" s="6" t="inlineStr">
        <is>
          <t>Term Loan — opening</t>
        </is>
      </c>
      <c r="D50" s="23">
        <f>C53</f>
        <v/>
      </c>
      <c r="E50" s="23">
        <f>D53</f>
        <v/>
      </c>
      <c r="F50" s="23">
        <f>E53</f>
        <v/>
      </c>
      <c r="G50" s="23">
        <f>F53</f>
        <v/>
      </c>
      <c r="H50" s="23">
        <f>G53</f>
        <v/>
      </c>
      <c r="I50" s="23">
        <f>H53</f>
        <v/>
      </c>
      <c r="J50" s="23">
        <f>I53</f>
        <v/>
      </c>
      <c r="K50" s="23">
        <f>J53</f>
        <v/>
      </c>
      <c r="L50" s="23">
        <f>K53</f>
        <v/>
      </c>
      <c r="M50" s="23">
        <f>L53</f>
        <v/>
      </c>
    </row>
    <row r="51">
      <c r="A51" s="6" t="inlineStr">
        <is>
          <t xml:space="preserve">  mandatory amortization</t>
        </is>
      </c>
      <c r="D51" s="23">
        <f>-D43</f>
        <v/>
      </c>
      <c r="E51" s="23">
        <f>-E43</f>
        <v/>
      </c>
      <c r="F51" s="23">
        <f>-F43</f>
        <v/>
      </c>
      <c r="G51" s="23">
        <f>-G43</f>
        <v/>
      </c>
      <c r="H51" s="23">
        <f>-H43</f>
        <v/>
      </c>
      <c r="I51" s="23">
        <f>-I43</f>
        <v/>
      </c>
      <c r="J51" s="23">
        <f>-J43</f>
        <v/>
      </c>
      <c r="K51" s="23">
        <f>-K43</f>
        <v/>
      </c>
      <c r="L51" s="23">
        <f>-L43</f>
        <v/>
      </c>
      <c r="M51" s="23">
        <f>-M43</f>
        <v/>
      </c>
    </row>
    <row r="52">
      <c r="A52" s="6" t="inlineStr">
        <is>
          <t xml:space="preserve">  cash sweep</t>
        </is>
      </c>
      <c r="D52" s="23">
        <f>-D47</f>
        <v/>
      </c>
      <c r="E52" s="23">
        <f>-E47</f>
        <v/>
      </c>
      <c r="F52" s="23">
        <f>-F47</f>
        <v/>
      </c>
      <c r="G52" s="23">
        <f>-G47</f>
        <v/>
      </c>
      <c r="H52" s="23">
        <f>-H47</f>
        <v/>
      </c>
      <c r="I52" s="23">
        <f>-I47</f>
        <v/>
      </c>
      <c r="J52" s="23">
        <f>-J47</f>
        <v/>
      </c>
      <c r="K52" s="23">
        <f>-K47</f>
        <v/>
      </c>
      <c r="L52" s="23">
        <f>-L47</f>
        <v/>
      </c>
      <c r="M52" s="23">
        <f>-M47</f>
        <v/>
      </c>
    </row>
    <row r="53">
      <c r="A53" s="5" t="inlineStr">
        <is>
          <t>Term Loan — closing</t>
        </is>
      </c>
      <c r="C53" s="26">
        <f>C12</f>
        <v/>
      </c>
      <c r="D53" s="26">
        <f>SUM(D50:D52)</f>
        <v/>
      </c>
      <c r="E53" s="26">
        <f>SUM(E50:E52)</f>
        <v/>
      </c>
      <c r="F53" s="26">
        <f>SUM(F50:F52)</f>
        <v/>
      </c>
      <c r="G53" s="26">
        <f>SUM(G50:G52)</f>
        <v/>
      </c>
      <c r="H53" s="26">
        <f>SUM(H50:H52)</f>
        <v/>
      </c>
      <c r="I53" s="26">
        <f>SUM(I50:I52)</f>
        <v/>
      </c>
      <c r="J53" s="26">
        <f>SUM(J50:J52)</f>
        <v/>
      </c>
      <c r="K53" s="26">
        <f>SUM(K50:K52)</f>
        <v/>
      </c>
      <c r="L53" s="26">
        <f>SUM(L50:L52)</f>
        <v/>
      </c>
      <c r="M53" s="26">
        <f>SUM(M50:M52)</f>
        <v/>
      </c>
    </row>
    <row r="54">
      <c r="A54" s="5" t="inlineStr">
        <is>
          <t>Subordinated Notes — closing (bullet)</t>
        </is>
      </c>
      <c r="C54" s="26">
        <f>C13</f>
        <v/>
      </c>
      <c r="D54" s="26">
        <f>C54</f>
        <v/>
      </c>
      <c r="E54" s="26">
        <f>D54</f>
        <v/>
      </c>
      <c r="F54" s="26">
        <f>E54</f>
        <v/>
      </c>
      <c r="G54" s="26">
        <f>F54</f>
        <v/>
      </c>
      <c r="H54" s="26">
        <f>G54</f>
        <v/>
      </c>
      <c r="I54" s="26">
        <f>H54</f>
        <v/>
      </c>
      <c r="J54" s="26">
        <f>I54</f>
        <v/>
      </c>
      <c r="K54" s="26">
        <f>J54</f>
        <v/>
      </c>
      <c r="L54" s="26">
        <f>K54</f>
        <v/>
      </c>
      <c r="M54" s="26">
        <f>L54</f>
        <v/>
      </c>
    </row>
    <row r="55">
      <c r="A55" s="6" t="inlineStr">
        <is>
          <t>RCF — opening</t>
        </is>
      </c>
      <c r="D55" s="23">
        <f>C58</f>
        <v/>
      </c>
      <c r="E55" s="23">
        <f>D58</f>
        <v/>
      </c>
      <c r="F55" s="23">
        <f>E58</f>
        <v/>
      </c>
      <c r="G55" s="23">
        <f>F58</f>
        <v/>
      </c>
      <c r="H55" s="23">
        <f>G58</f>
        <v/>
      </c>
      <c r="I55" s="23">
        <f>H58</f>
        <v/>
      </c>
      <c r="J55" s="23">
        <f>I58</f>
        <v/>
      </c>
      <c r="K55" s="23">
        <f>J58</f>
        <v/>
      </c>
      <c r="L55" s="23">
        <f>K58</f>
        <v/>
      </c>
      <c r="M55" s="23">
        <f>L58</f>
        <v/>
      </c>
    </row>
    <row r="56">
      <c r="A56" s="6" t="inlineStr">
        <is>
          <t xml:space="preserve">  draws</t>
        </is>
      </c>
      <c r="D56" s="23">
        <f>D45</f>
        <v/>
      </c>
      <c r="E56" s="23">
        <f>E45</f>
        <v/>
      </c>
      <c r="F56" s="23">
        <f>F45</f>
        <v/>
      </c>
      <c r="G56" s="23">
        <f>G45</f>
        <v/>
      </c>
      <c r="H56" s="23">
        <f>H45</f>
        <v/>
      </c>
      <c r="I56" s="23">
        <f>I45</f>
        <v/>
      </c>
      <c r="J56" s="23">
        <f>J45</f>
        <v/>
      </c>
      <c r="K56" s="23">
        <f>K45</f>
        <v/>
      </c>
      <c r="L56" s="23">
        <f>L45</f>
        <v/>
      </c>
      <c r="M56" s="23">
        <f>M45</f>
        <v/>
      </c>
    </row>
    <row r="57">
      <c r="A57" s="6" t="inlineStr">
        <is>
          <t xml:space="preserve">  repayments</t>
        </is>
      </c>
      <c r="D57" s="23">
        <f>-D46</f>
        <v/>
      </c>
      <c r="E57" s="23">
        <f>-E46</f>
        <v/>
      </c>
      <c r="F57" s="23">
        <f>-F46</f>
        <v/>
      </c>
      <c r="G57" s="23">
        <f>-G46</f>
        <v/>
      </c>
      <c r="H57" s="23">
        <f>-H46</f>
        <v/>
      </c>
      <c r="I57" s="23">
        <f>-I46</f>
        <v/>
      </c>
      <c r="J57" s="23">
        <f>-J46</f>
        <v/>
      </c>
      <c r="K57" s="23">
        <f>-K46</f>
        <v/>
      </c>
      <c r="L57" s="23">
        <f>-L46</f>
        <v/>
      </c>
      <c r="M57" s="23">
        <f>-M46</f>
        <v/>
      </c>
    </row>
    <row r="58">
      <c r="A58" s="5" t="inlineStr">
        <is>
          <t>RCF — closing</t>
        </is>
      </c>
      <c r="C58" s="26" t="n">
        <v>0</v>
      </c>
      <c r="D58" s="26">
        <f>SUM(D55:D57)</f>
        <v/>
      </c>
      <c r="E58" s="26">
        <f>SUM(E55:E57)</f>
        <v/>
      </c>
      <c r="F58" s="26">
        <f>SUM(F55:F57)</f>
        <v/>
      </c>
      <c r="G58" s="26">
        <f>SUM(G55:G57)</f>
        <v/>
      </c>
      <c r="H58" s="26">
        <f>SUM(H55:H57)</f>
        <v/>
      </c>
      <c r="I58" s="26">
        <f>SUM(I55:I57)</f>
        <v/>
      </c>
      <c r="J58" s="26">
        <f>SUM(J55:J57)</f>
        <v/>
      </c>
      <c r="K58" s="26">
        <f>SUM(K55:K57)</f>
        <v/>
      </c>
      <c r="L58" s="26">
        <f>SUM(L55:L57)</f>
        <v/>
      </c>
      <c r="M58" s="26">
        <f>SUM(M55:M57)</f>
        <v/>
      </c>
    </row>
    <row r="59">
      <c r="A59" s="3" t="inlineStr">
        <is>
          <t xml:space="preserve">  undrawn RCF headroom</t>
        </is>
      </c>
      <c r="D59" s="32">
        <f>Assumptions!$B$26-D58</f>
        <v/>
      </c>
      <c r="E59" s="32">
        <f>Assumptions!$B$26-E58</f>
        <v/>
      </c>
      <c r="F59" s="32">
        <f>Assumptions!$B$26-F58</f>
        <v/>
      </c>
      <c r="G59" s="32">
        <f>Assumptions!$B$26-G58</f>
        <v/>
      </c>
      <c r="H59" s="32">
        <f>Assumptions!$B$26-H58</f>
        <v/>
      </c>
      <c r="I59" s="32">
        <f>Assumptions!$B$26-I58</f>
        <v/>
      </c>
      <c r="J59" s="32">
        <f>Assumptions!$B$26-J58</f>
        <v/>
      </c>
      <c r="K59" s="32">
        <f>Assumptions!$B$26-K58</f>
        <v/>
      </c>
      <c r="L59" s="32">
        <f>Assumptions!$B$26-L58</f>
        <v/>
      </c>
      <c r="M59" s="32">
        <f>Assumptions!$B$26-M58</f>
        <v/>
      </c>
    </row>
    <row r="60">
      <c r="A60" s="5" t="inlineStr">
        <is>
          <t>Cash — closing</t>
        </is>
      </c>
      <c r="C60" s="33">
        <f>Assumptions!$B$31</f>
        <v/>
      </c>
      <c r="D60" s="26">
        <f>Assumptions!$B$31+D48</f>
        <v/>
      </c>
      <c r="E60" s="26">
        <f>Assumptions!$B$31+E48</f>
        <v/>
      </c>
      <c r="F60" s="26">
        <f>Assumptions!$B$31+F48</f>
        <v/>
      </c>
      <c r="G60" s="26">
        <f>Assumptions!$B$31+G48</f>
        <v/>
      </c>
      <c r="H60" s="26">
        <f>Assumptions!$B$31+H48</f>
        <v/>
      </c>
      <c r="I60" s="26">
        <f>Assumptions!$B$31+I48</f>
        <v/>
      </c>
      <c r="J60" s="26">
        <f>Assumptions!$B$31+J48</f>
        <v/>
      </c>
      <c r="K60" s="26">
        <f>Assumptions!$B$31+K48</f>
        <v/>
      </c>
      <c r="L60" s="26">
        <f>Assumptions!$B$31+L48</f>
        <v/>
      </c>
      <c r="M60" s="26">
        <f>Assumptions!$B$31+M48</f>
        <v/>
      </c>
    </row>
    <row r="61">
      <c r="A61" s="6" t="inlineStr">
        <is>
          <t>Total debt</t>
        </is>
      </c>
      <c r="C61" s="23">
        <f>C53+C54+C58</f>
        <v/>
      </c>
      <c r="D61" s="23">
        <f>D53+D54+D58</f>
        <v/>
      </c>
      <c r="E61" s="23">
        <f>E53+E54+E58</f>
        <v/>
      </c>
      <c r="F61" s="23">
        <f>F53+F54+F58</f>
        <v/>
      </c>
      <c r="G61" s="23">
        <f>G53+G54+G58</f>
        <v/>
      </c>
      <c r="H61" s="23">
        <f>H53+H54+H58</f>
        <v/>
      </c>
      <c r="I61" s="23">
        <f>I53+I54+I58</f>
        <v/>
      </c>
      <c r="J61" s="23">
        <f>J53+J54+J58</f>
        <v/>
      </c>
      <c r="K61" s="23">
        <f>K53+K54+K58</f>
        <v/>
      </c>
      <c r="L61" s="23">
        <f>L53+L54+L58</f>
        <v/>
      </c>
      <c r="M61" s="23">
        <f>M53+M54+M58</f>
        <v/>
      </c>
    </row>
    <row r="62">
      <c r="A62" s="5" t="inlineStr">
        <is>
          <t>Net debt</t>
        </is>
      </c>
      <c r="C62" s="26">
        <f>C61-C60</f>
        <v/>
      </c>
      <c r="D62" s="26">
        <f>D61-D60</f>
        <v/>
      </c>
      <c r="E62" s="26">
        <f>E61-E60</f>
        <v/>
      </c>
      <c r="F62" s="26">
        <f>F61-F60</f>
        <v/>
      </c>
      <c r="G62" s="26">
        <f>G61-G60</f>
        <v/>
      </c>
      <c r="H62" s="26">
        <f>H61-H60</f>
        <v/>
      </c>
      <c r="I62" s="26">
        <f>I61-I60</f>
        <v/>
      </c>
      <c r="J62" s="26">
        <f>J61-J60</f>
        <v/>
      </c>
      <c r="K62" s="26">
        <f>K61-K60</f>
        <v/>
      </c>
      <c r="L62" s="26">
        <f>L61-L60</f>
        <v/>
      </c>
      <c r="M62" s="26">
        <f>M61-M60</f>
        <v/>
      </c>
    </row>
    <row r="63">
      <c r="A63" s="4" t="inlineStr">
        <is>
          <t>Credit statistics</t>
        </is>
      </c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>
      <c r="A64" s="6" t="inlineStr">
        <is>
          <t>Total debt / EBITDA</t>
        </is>
      </c>
      <c r="C64" s="34">
        <f>C61/C23</f>
        <v/>
      </c>
      <c r="D64" s="34">
        <f>D61/D23</f>
        <v/>
      </c>
      <c r="E64" s="34">
        <f>E61/E23</f>
        <v/>
      </c>
      <c r="F64" s="34">
        <f>F61/F23</f>
        <v/>
      </c>
      <c r="G64" s="34">
        <f>G61/G23</f>
        <v/>
      </c>
      <c r="H64" s="34">
        <f>H61/H23</f>
        <v/>
      </c>
      <c r="I64" s="34">
        <f>I61/I23</f>
        <v/>
      </c>
      <c r="J64" s="34">
        <f>J61/J23</f>
        <v/>
      </c>
      <c r="K64" s="34">
        <f>K61/K23</f>
        <v/>
      </c>
      <c r="L64" s="34">
        <f>L61/L23</f>
        <v/>
      </c>
      <c r="M64" s="34">
        <f>M61/M23</f>
        <v/>
      </c>
    </row>
    <row r="65">
      <c r="A65" s="6" t="inlineStr">
        <is>
          <t>EBITDA / interest</t>
        </is>
      </c>
      <c r="D65" s="34">
        <f>IF(D30&gt;0,D23/D30,"n.m.")</f>
        <v/>
      </c>
      <c r="E65" s="34">
        <f>IF(E30&gt;0,E23/E30,"n.m.")</f>
        <v/>
      </c>
      <c r="F65" s="34">
        <f>IF(F30&gt;0,F23/F30,"n.m.")</f>
        <v/>
      </c>
      <c r="G65" s="34">
        <f>IF(G30&gt;0,G23/G30,"n.m.")</f>
        <v/>
      </c>
      <c r="H65" s="34">
        <f>IF(H30&gt;0,H23/H30,"n.m.")</f>
        <v/>
      </c>
      <c r="I65" s="34">
        <f>IF(I30&gt;0,I23/I30,"n.m.")</f>
        <v/>
      </c>
      <c r="J65" s="34">
        <f>IF(J30&gt;0,J23/J30,"n.m.")</f>
        <v/>
      </c>
      <c r="K65" s="34">
        <f>IF(K30&gt;0,K23/K30,"n.m.")</f>
        <v/>
      </c>
      <c r="L65" s="34">
        <f>IF(L30&gt;0,L23/L30,"n.m.")</f>
        <v/>
      </c>
      <c r="M65" s="34">
        <f>IF(M30&gt;0,M23/M30,"n.m.")</f>
        <v/>
      </c>
    </row>
    <row r="66">
      <c r="A66" s="4" t="inlineStr">
        <is>
          <t>Checks and helpers</t>
        </is>
      </c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</row>
    <row r="67">
      <c r="A67" s="3" t="inlineStr">
        <is>
          <t>Cash conservation |change in net debt - FCF| (must be 0)</t>
        </is>
      </c>
      <c r="D67" s="27">
        <f>ABS((C62-D62)-D39)</f>
        <v/>
      </c>
      <c r="E67" s="27">
        <f>ABS((D62-E62)-E39)</f>
        <v/>
      </c>
      <c r="F67" s="27">
        <f>ABS((E62-F62)-F39)</f>
        <v/>
      </c>
      <c r="G67" s="27">
        <f>ABS((F62-G62)-G39)</f>
        <v/>
      </c>
      <c r="H67" s="27">
        <f>ABS((G62-H62)-H39)</f>
        <v/>
      </c>
      <c r="I67" s="27">
        <f>ABS((H62-I62)-I39)</f>
        <v/>
      </c>
      <c r="J67" s="27">
        <f>ABS((I62-J62)-J39)</f>
        <v/>
      </c>
      <c r="K67" s="27">
        <f>ABS((J62-K62)-K39)</f>
        <v/>
      </c>
      <c r="L67" s="27">
        <f>ABS((K62-L62)-L39)</f>
        <v/>
      </c>
      <c r="M67" s="27">
        <f>ABS((L62-M62)-M39)</f>
        <v/>
      </c>
    </row>
    <row r="68">
      <c r="A68" s="3" t="inlineStr">
        <is>
          <t>EBITDA / interest, holding period only</t>
        </is>
      </c>
      <c r="D68" s="24">
        <f>IF(AND(D19=1,D30&gt;0),D23/D30,"")</f>
        <v/>
      </c>
      <c r="E68" s="24">
        <f>IF(AND(E19=1,E30&gt;0),E23/E30,"")</f>
        <v/>
      </c>
      <c r="F68" s="24">
        <f>IF(AND(F19=1,F30&gt;0),F23/F30,"")</f>
        <v/>
      </c>
      <c r="G68" s="24">
        <f>IF(AND(G19=1,G30&gt;0),G23/G30,"")</f>
        <v/>
      </c>
      <c r="H68" s="24">
        <f>IF(AND(H19=1,H30&gt;0),H23/H30,"")</f>
        <v/>
      </c>
      <c r="I68" s="24">
        <f>IF(AND(I19=1,I30&gt;0),I23/I30,"")</f>
        <v/>
      </c>
      <c r="J68" s="24">
        <f>IF(AND(J19=1,J30&gt;0),J23/J30,"")</f>
        <v/>
      </c>
      <c r="K68" s="24">
        <f>IF(AND(K19=1,K30&gt;0),K23/K30,"")</f>
        <v/>
      </c>
      <c r="L68" s="24">
        <f>IF(AND(L19=1,L30&gt;0),L23/L30,"")</f>
        <v/>
      </c>
      <c r="M68" s="24">
        <f>IF(AND(M19=1,M30&gt;0),M23/M30,"")</f>
        <v/>
      </c>
    </row>
    <row r="69">
      <c r="A69" s="3" t="inlineStr">
        <is>
          <t>RCF balance, holding period only</t>
        </is>
      </c>
      <c r="D69" s="32">
        <f>D58*D19</f>
        <v/>
      </c>
      <c r="E69" s="32">
        <f>E58*E19</f>
        <v/>
      </c>
      <c r="F69" s="32">
        <f>F58*F19</f>
        <v/>
      </c>
      <c r="G69" s="32">
        <f>G58*G19</f>
        <v/>
      </c>
      <c r="H69" s="32">
        <f>H58*H19</f>
        <v/>
      </c>
      <c r="I69" s="32">
        <f>I58*I19</f>
        <v/>
      </c>
      <c r="J69" s="32">
        <f>J58*J19</f>
        <v/>
      </c>
      <c r="K69" s="32">
        <f>K58*K19</f>
        <v/>
      </c>
      <c r="L69" s="32">
        <f>L58*L19</f>
        <v/>
      </c>
      <c r="M69" s="32">
        <f>M58*M19</f>
        <v/>
      </c>
    </row>
    <row r="70">
      <c r="A70" s="5" t="inlineStr">
        <is>
          <t>Sponsor equity cash flows</t>
        </is>
      </c>
      <c r="C70" s="26">
        <f>-C14</f>
        <v/>
      </c>
      <c r="D70" s="26">
        <f>IF(D18=Assumptions!$B$34,$C$78,0)</f>
        <v/>
      </c>
      <c r="E70" s="26">
        <f>IF(E18=Assumptions!$B$34,$C$78,0)</f>
        <v/>
      </c>
      <c r="F70" s="26">
        <f>IF(F18=Assumptions!$B$34,$C$78,0)</f>
        <v/>
      </c>
      <c r="G70" s="26">
        <f>IF(G18=Assumptions!$B$34,$C$78,0)</f>
        <v/>
      </c>
      <c r="H70" s="26">
        <f>IF(H18=Assumptions!$B$34,$C$78,0)</f>
        <v/>
      </c>
      <c r="I70" s="26">
        <f>IF(I18=Assumptions!$B$34,$C$78,0)</f>
        <v/>
      </c>
      <c r="J70" s="26">
        <f>IF(J18=Assumptions!$B$34,$C$78,0)</f>
        <v/>
      </c>
      <c r="K70" s="26">
        <f>IF(K18=Assumptions!$B$34,$C$78,0)</f>
        <v/>
      </c>
      <c r="L70" s="26">
        <f>IF(L18=Assumptions!$B$34,$C$78,0)</f>
        <v/>
      </c>
      <c r="M70" s="26">
        <f>IF(M18=Assumptions!$B$34,$C$78,0)</f>
        <v/>
      </c>
    </row>
    <row r="72">
      <c r="A72" s="4" t="inlineStr">
        <is>
          <t>Returns</t>
        </is>
      </c>
      <c r="B72" s="19" t="n"/>
      <c r="C72" s="20" t="inlineStr">
        <is>
          <t>EUR mm</t>
        </is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</row>
    <row r="73">
      <c r="A73" s="6" t="inlineStr">
        <is>
          <t>Holding period (years)</t>
        </is>
      </c>
      <c r="C73" s="35">
        <f>Assumptions!$B$34</f>
        <v/>
      </c>
    </row>
    <row r="74">
      <c r="A74" s="6" t="inlineStr">
        <is>
          <t>Exit EBITDA (final year of hold)</t>
        </is>
      </c>
      <c r="C74" s="23">
        <f>INDEX($D$23:$M$23,C73)</f>
        <v/>
      </c>
    </row>
    <row r="75">
      <c r="A75" s="6" t="inlineStr">
        <is>
          <t>Exit EV / EBITDA</t>
        </is>
      </c>
      <c r="C75" s="22">
        <f>Assumptions!$B$35</f>
        <v/>
      </c>
    </row>
    <row r="76">
      <c r="A76" s="6" t="inlineStr">
        <is>
          <t>Exit enterprise value</t>
        </is>
      </c>
      <c r="C76" s="23">
        <f>C74*C75</f>
        <v/>
      </c>
    </row>
    <row r="77">
      <c r="A77" s="6" t="inlineStr">
        <is>
          <t>Less: net debt at exit</t>
        </is>
      </c>
      <c r="C77" s="23">
        <f>INDEX($D$62:$M$62,C73)</f>
        <v/>
      </c>
    </row>
    <row r="78">
      <c r="A78" s="5" t="inlineStr">
        <is>
          <t>Exit equity value</t>
        </is>
      </c>
      <c r="C78" s="26">
        <f>C76-C77</f>
        <v/>
      </c>
    </row>
    <row r="79">
      <c r="A79" s="6" t="inlineStr">
        <is>
          <t>Entry sponsor equity</t>
        </is>
      </c>
      <c r="C79" s="23">
        <f>C14</f>
        <v/>
      </c>
    </row>
    <row r="80">
      <c r="A80" s="5" t="inlineStr">
        <is>
          <t>MOIC</t>
        </is>
      </c>
      <c r="C80" s="36">
        <f>C78/C79</f>
        <v/>
      </c>
    </row>
    <row r="81">
      <c r="A81" s="5" t="inlineStr">
        <is>
          <t>IRR  (= MOIC ^ (1 / years) - 1: no interim dividends)</t>
        </is>
      </c>
      <c r="C81" s="37">
        <f>IF(C80&gt;0,C80^(1/C73)-1,-1)</f>
        <v/>
      </c>
    </row>
    <row r="82">
      <c r="A82" s="3" t="inlineStr">
        <is>
          <t>IRR cross-check: Excel IRR() on equity cash flows</t>
        </is>
      </c>
      <c r="C82" s="25">
        <f>IFERROR(IRR(C70:M70),"n.m.")</f>
        <v/>
      </c>
    </row>
    <row r="83">
      <c r="A83" s="6" t="inlineStr">
        <is>
          <t>Peak RCF draw during hold</t>
        </is>
      </c>
      <c r="C83" s="23">
        <f>MAX($D$69:$M$69)</f>
        <v/>
      </c>
    </row>
    <row r="84">
      <c r="A84" s="6" t="inlineStr">
        <is>
          <t>Minimum EBITDA / interest during hold</t>
        </is>
      </c>
      <c r="C84" s="34">
        <f>IF(COUNT($D$68:$M$68)&gt;0,MIN($D$68:$M$68),"n.m.")</f>
        <v/>
      </c>
    </row>
    <row r="85">
      <c r="A85" s="6" t="inlineStr">
        <is>
          <t>Liquidity flag</t>
        </is>
      </c>
      <c r="C85" s="23">
        <f>IF(C83&gt;Assumptions!$B$26+0.000001,"RCF over commitment: structure does not fund itself",IF(C83&gt;0,"RCF drawn to cover a shortfall","-"))</f>
        <v/>
      </c>
    </row>
    <row r="86">
      <c r="A86" s="6" t="inlineStr">
        <is>
          <t>Coverage flag</t>
        </is>
      </c>
      <c r="C86" s="23">
        <f>IF(AND(ISNUMBER(C84),C84&lt;2),"Coverage below 2.0x","-")</f>
        <v/>
      </c>
    </row>
    <row r="87">
      <c r="A87" s="6" t="inlineStr">
        <is>
          <t>Equity flag</t>
        </is>
      </c>
      <c r="C87" s="23">
        <f>IF(C78&lt;=0,"Exit equity &lt;= 0","-")</f>
        <v/>
      </c>
    </row>
    <row r="89">
      <c r="A89" s="4" t="inlineStr">
        <is>
          <t>IRR sensitivity: exit multiple (rows) x holding period (columns)</t>
        </is>
      </c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</row>
    <row r="90">
      <c r="A90" s="3" t="inlineStr">
        <is>
          <t>Change vs base exit multiple  |  exit multiple  |  holding period (years):</t>
        </is>
      </c>
      <c r="D90" s="38" t="n">
        <v>3</v>
      </c>
      <c r="E90" s="38" t="n">
        <v>4</v>
      </c>
      <c r="F90" s="38" t="n">
        <v>5</v>
      </c>
      <c r="G90" s="38" t="n">
        <v>6</v>
      </c>
      <c r="H90" s="38" t="n">
        <v>7</v>
      </c>
    </row>
    <row r="91">
      <c r="B91" s="39" t="n">
        <v>-1</v>
      </c>
      <c r="C91" s="17">
        <f>$C$75+B91</f>
        <v/>
      </c>
      <c r="D91" s="40">
        <f>IFERROR(IF((INDEX($D$23:$M$23,D$90)*$C91-INDEX($D$62:$M$62,D$90))&gt;0,((INDEX($D$23:$M$23,D$90)*$C91-INDEX($D$62:$M$62,D$90))/$C$79)^(1/D$90)-1,-1),"n.a.")</f>
        <v/>
      </c>
      <c r="E91" s="40">
        <f>IFERROR(IF((INDEX($D$23:$M$23,E$90)*$C91-INDEX($D$62:$M$62,E$90))&gt;0,((INDEX($D$23:$M$23,E$90)*$C91-INDEX($D$62:$M$62,E$90))/$C$79)^(1/E$90)-1,-1),"n.a.")</f>
        <v/>
      </c>
      <c r="F91" s="40">
        <f>IFERROR(IF((INDEX($D$23:$M$23,F$90)*$C91-INDEX($D$62:$M$62,F$90))&gt;0,((INDEX($D$23:$M$23,F$90)*$C91-INDEX($D$62:$M$62,F$90))/$C$79)^(1/F$90)-1,-1),"n.a.")</f>
        <v/>
      </c>
      <c r="G91" s="40">
        <f>IFERROR(IF((INDEX($D$23:$M$23,G$90)*$C91-INDEX($D$62:$M$62,G$90))&gt;0,((INDEX($D$23:$M$23,G$90)*$C91-INDEX($D$62:$M$62,G$90))/$C$79)^(1/G$90)-1,-1),"n.a.")</f>
        <v/>
      </c>
      <c r="H91" s="40">
        <f>IFERROR(IF((INDEX($D$23:$M$23,H$90)*$C91-INDEX($D$62:$M$62,H$90))&gt;0,((INDEX($D$23:$M$23,H$90)*$C91-INDEX($D$62:$M$62,H$90))/$C$79)^(1/H$90)-1,-1),"n.a.")</f>
        <v/>
      </c>
    </row>
    <row r="92">
      <c r="B92" s="39" t="n">
        <v>-0.5</v>
      </c>
      <c r="C92" s="17">
        <f>$C$75+B92</f>
        <v/>
      </c>
      <c r="D92" s="40">
        <f>IFERROR(IF((INDEX($D$23:$M$23,D$90)*$C92-INDEX($D$62:$M$62,D$90))&gt;0,((INDEX($D$23:$M$23,D$90)*$C92-INDEX($D$62:$M$62,D$90))/$C$79)^(1/D$90)-1,-1),"n.a.")</f>
        <v/>
      </c>
      <c r="E92" s="40">
        <f>IFERROR(IF((INDEX($D$23:$M$23,E$90)*$C92-INDEX($D$62:$M$62,E$90))&gt;0,((INDEX($D$23:$M$23,E$90)*$C92-INDEX($D$62:$M$62,E$90))/$C$79)^(1/E$90)-1,-1),"n.a.")</f>
        <v/>
      </c>
      <c r="F92" s="40">
        <f>IFERROR(IF((INDEX($D$23:$M$23,F$90)*$C92-INDEX($D$62:$M$62,F$90))&gt;0,((INDEX($D$23:$M$23,F$90)*$C92-INDEX($D$62:$M$62,F$90))/$C$79)^(1/F$90)-1,-1),"n.a.")</f>
        <v/>
      </c>
      <c r="G92" s="40">
        <f>IFERROR(IF((INDEX($D$23:$M$23,G$90)*$C92-INDEX($D$62:$M$62,G$90))&gt;0,((INDEX($D$23:$M$23,G$90)*$C92-INDEX($D$62:$M$62,G$90))/$C$79)^(1/G$90)-1,-1),"n.a.")</f>
        <v/>
      </c>
      <c r="H92" s="40">
        <f>IFERROR(IF((INDEX($D$23:$M$23,H$90)*$C92-INDEX($D$62:$M$62,H$90))&gt;0,((INDEX($D$23:$M$23,H$90)*$C92-INDEX($D$62:$M$62,H$90))/$C$79)^(1/H$90)-1,-1),"n.a.")</f>
        <v/>
      </c>
    </row>
    <row r="93">
      <c r="B93" s="39" t="n">
        <v>0</v>
      </c>
      <c r="C93" s="17">
        <f>$C$75+B93</f>
        <v/>
      </c>
      <c r="D93" s="40">
        <f>IFERROR(IF((INDEX($D$23:$M$23,D$90)*$C93-INDEX($D$62:$M$62,D$90))&gt;0,((INDEX($D$23:$M$23,D$90)*$C93-INDEX($D$62:$M$62,D$90))/$C$79)^(1/D$90)-1,-1),"n.a.")</f>
        <v/>
      </c>
      <c r="E93" s="40">
        <f>IFERROR(IF((INDEX($D$23:$M$23,E$90)*$C93-INDEX($D$62:$M$62,E$90))&gt;0,((INDEX($D$23:$M$23,E$90)*$C93-INDEX($D$62:$M$62,E$90))/$C$79)^(1/E$90)-1,-1),"n.a.")</f>
        <v/>
      </c>
      <c r="F93" s="40">
        <f>IFERROR(IF((INDEX($D$23:$M$23,F$90)*$C93-INDEX($D$62:$M$62,F$90))&gt;0,((INDEX($D$23:$M$23,F$90)*$C93-INDEX($D$62:$M$62,F$90))/$C$79)^(1/F$90)-1,-1),"n.a.")</f>
        <v/>
      </c>
      <c r="G93" s="40">
        <f>IFERROR(IF((INDEX($D$23:$M$23,G$90)*$C93-INDEX($D$62:$M$62,G$90))&gt;0,((INDEX($D$23:$M$23,G$90)*$C93-INDEX($D$62:$M$62,G$90))/$C$79)^(1/G$90)-1,-1),"n.a.")</f>
        <v/>
      </c>
      <c r="H93" s="40">
        <f>IFERROR(IF((INDEX($D$23:$M$23,H$90)*$C93-INDEX($D$62:$M$62,H$90))&gt;0,((INDEX($D$23:$M$23,H$90)*$C93-INDEX($D$62:$M$62,H$90))/$C$79)^(1/H$90)-1,-1),"n.a.")</f>
        <v/>
      </c>
    </row>
    <row r="94">
      <c r="B94" s="39" t="n">
        <v>0.5</v>
      </c>
      <c r="C94" s="17">
        <f>$C$75+B94</f>
        <v/>
      </c>
      <c r="D94" s="40">
        <f>IFERROR(IF((INDEX($D$23:$M$23,D$90)*$C94-INDEX($D$62:$M$62,D$90))&gt;0,((INDEX($D$23:$M$23,D$90)*$C94-INDEX($D$62:$M$62,D$90))/$C$79)^(1/D$90)-1,-1),"n.a.")</f>
        <v/>
      </c>
      <c r="E94" s="40">
        <f>IFERROR(IF((INDEX($D$23:$M$23,E$90)*$C94-INDEX($D$62:$M$62,E$90))&gt;0,((INDEX($D$23:$M$23,E$90)*$C94-INDEX($D$62:$M$62,E$90))/$C$79)^(1/E$90)-1,-1),"n.a.")</f>
        <v/>
      </c>
      <c r="F94" s="40">
        <f>IFERROR(IF((INDEX($D$23:$M$23,F$90)*$C94-INDEX($D$62:$M$62,F$90))&gt;0,((INDEX($D$23:$M$23,F$90)*$C94-INDEX($D$62:$M$62,F$90))/$C$79)^(1/F$90)-1,-1),"n.a.")</f>
        <v/>
      </c>
      <c r="G94" s="40">
        <f>IFERROR(IF((INDEX($D$23:$M$23,G$90)*$C94-INDEX($D$62:$M$62,G$90))&gt;0,((INDEX($D$23:$M$23,G$90)*$C94-INDEX($D$62:$M$62,G$90))/$C$79)^(1/G$90)-1,-1),"n.a.")</f>
        <v/>
      </c>
      <c r="H94" s="40">
        <f>IFERROR(IF((INDEX($D$23:$M$23,H$90)*$C94-INDEX($D$62:$M$62,H$90))&gt;0,((INDEX($D$23:$M$23,H$90)*$C94-INDEX($D$62:$M$62,H$90))/$C$79)^(1/H$90)-1,-1),"n.a.")</f>
        <v/>
      </c>
    </row>
    <row r="95">
      <c r="B95" s="39" t="n">
        <v>1</v>
      </c>
      <c r="C95" s="17">
        <f>$C$75+B95</f>
        <v/>
      </c>
      <c r="D95" s="40">
        <f>IFERROR(IF((INDEX($D$23:$M$23,D$90)*$C95-INDEX($D$62:$M$62,D$90))&gt;0,((INDEX($D$23:$M$23,D$90)*$C95-INDEX($D$62:$M$62,D$90))/$C$79)^(1/D$90)-1,-1),"n.a.")</f>
        <v/>
      </c>
      <c r="E95" s="40">
        <f>IFERROR(IF((INDEX($D$23:$M$23,E$90)*$C95-INDEX($D$62:$M$62,E$90))&gt;0,((INDEX($D$23:$M$23,E$90)*$C95-INDEX($D$62:$M$62,E$90))/$C$79)^(1/E$90)-1,-1),"n.a.")</f>
        <v/>
      </c>
      <c r="F95" s="40">
        <f>IFERROR(IF((INDEX($D$23:$M$23,F$90)*$C95-INDEX($D$62:$M$62,F$90))&gt;0,((INDEX($D$23:$M$23,F$90)*$C95-INDEX($D$62:$M$62,F$90))/$C$79)^(1/F$90)-1,-1),"n.a.")</f>
        <v/>
      </c>
      <c r="G95" s="40">
        <f>IFERROR(IF((INDEX($D$23:$M$23,G$90)*$C95-INDEX($D$62:$M$62,G$90))&gt;0,((INDEX($D$23:$M$23,G$90)*$C95-INDEX($D$62:$M$62,G$90))/$C$79)^(1/G$90)-1,-1),"n.a.")</f>
        <v/>
      </c>
      <c r="H95" s="40">
        <f>IFERROR(IF((INDEX($D$23:$M$23,H$90)*$C95-INDEX($D$62:$M$62,H$90))&gt;0,((INDEX($D$23:$M$23,H$90)*$C95-INDEX($D$62:$M$62,H$90))/$C$79)^(1/H$90)-1,-1),"n.a.")</f>
        <v/>
      </c>
    </row>
  </sheetData>
  <conditionalFormatting sqref="C3">
    <cfRule type="cellIs" priority="1" operator="equal" dxfId="0">
      <formula>"ERROR"</formula>
    </cfRule>
    <cfRule type="cellIs" priority="2" operator="equal" dxfId="1">
      <formula>"OK"</formula>
    </cfRule>
  </conditionalFormatting>
  <conditionalFormatting sqref="D19:M70">
    <cfRule type="expression" priority="3" dxfId="2">
      <formula>D$18&gt;$C$73</formula>
    </cfRule>
  </conditionalFormatting>
  <conditionalFormatting sqref="D91:H95">
    <cfRule type="expression" priority="4" dxfId="3">
      <formula>AND($B91=0,D$90=$C$73)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10" customWidth="1" min="3" max="3"/>
  </cols>
  <sheetData>
    <row r="1">
      <c r="A1" s="1" t="inlineStr">
        <is>
          <t>Progetto Valvole Italia — audit trail</t>
        </is>
      </c>
      <c r="B1" s="2" t="n"/>
      <c r="C1" s="2" t="n"/>
    </row>
    <row r="2">
      <c r="A2" s="3" t="inlineStr">
        <is>
          <t>Exported 2026-09-23 · figures in EUR mm</t>
        </is>
      </c>
    </row>
    <row r="5">
      <c r="A5" s="4" t="inlineStr">
        <is>
          <t>Python engine snapshot at export vs live workbook</t>
        </is>
      </c>
      <c r="B5" s="19" t="n"/>
      <c r="C5" s="19" t="n"/>
    </row>
    <row r="6">
      <c r="A6" s="5" t="inlineStr">
        <is>
          <t>Metric</t>
        </is>
      </c>
      <c r="B6" s="16" t="inlineStr">
        <is>
          <t>Engine (static)</t>
        </is>
      </c>
      <c r="C6" s="5" t="inlineStr">
        <is>
          <t>Live workbook  |  status</t>
        </is>
      </c>
    </row>
    <row r="7">
      <c r="A7" s="6" t="inlineStr">
        <is>
          <t>Exit equity value</t>
        </is>
      </c>
      <c r="B7" s="41" t="n">
        <v>265.8802409239138</v>
      </c>
      <c r="C7" s="42">
        <f>LBO!$C$78</f>
        <v/>
      </c>
    </row>
    <row r="8">
      <c r="A8" s="6" t="inlineStr">
        <is>
          <t>MOIC</t>
        </is>
      </c>
      <c r="B8" s="43" t="n">
        <v>1.629168142916139</v>
      </c>
      <c r="C8" s="44">
        <f>LBO!$C$80</f>
        <v/>
      </c>
    </row>
    <row r="9">
      <c r="A9" s="6" t="inlineStr">
        <is>
          <t>IRR</t>
        </is>
      </c>
      <c r="B9" s="45" t="n">
        <v>0.1025370228111708</v>
      </c>
      <c r="C9" s="46">
        <f>LBO!$C$81</f>
        <v/>
      </c>
    </row>
    <row r="10">
      <c r="A10" s="6" t="inlineStr">
        <is>
          <t>Status</t>
        </is>
      </c>
      <c r="C10" s="5">
        <f>IF(ABS(C8-B8)&lt;0.000001,"Matches the Python engine","Inputs changed since export: engine snapshot no longer applies")</f>
        <v/>
      </c>
    </row>
    <row r="12">
      <c r="A12" s="4" t="inlineStr">
        <is>
          <t>Sector call (Claude)</t>
        </is>
      </c>
      <c r="B12" s="19" t="n"/>
      <c r="C12" s="19" t="n"/>
    </row>
    <row r="13">
      <c r="A13" s="6" t="inlineStr">
        <is>
          <t>Sector</t>
        </is>
      </c>
      <c r="C13" s="47" t="inlineStr">
        <is>
          <t>Industrials / manufacturing</t>
        </is>
      </c>
    </row>
    <row r="14">
      <c r="A14" s="6" t="inlineStr">
        <is>
          <t>Rationale</t>
        </is>
      </c>
      <c r="C14" s="47" t="inlineStr">
        <is>
          <t>Produttore manifatturiero italiano di valvole industriali con 4 stabilimenti, destinate a oil&amp;gas e utilities: classico industrial mid-market ciclico.</t>
        </is>
      </c>
    </row>
    <row r="16">
      <c r="A16" s="4" t="inlineStr">
        <is>
          <t>Guardrail adjustments to Claude's proposal</t>
        </is>
      </c>
      <c r="B16" s="19" t="n"/>
      <c r="C16" s="19" t="n"/>
    </row>
    <row r="17">
      <c r="A17" s="6" t="inlineStr"/>
      <c r="C17" s="47" t="inlineStr">
        <is>
          <t>None: every estimate was inside the benchmark ranges</t>
        </is>
      </c>
    </row>
    <row r="19">
      <c r="A19" s="4" t="inlineStr">
        <is>
          <t>Guardrail warnings</t>
        </is>
      </c>
      <c r="B19" s="19" t="n"/>
      <c r="C19" s="19" t="n"/>
    </row>
    <row r="20">
      <c r="A20" s="6" t="inlineStr"/>
      <c r="C20" s="47" t="inlineStr">
        <is>
          <t>None</t>
        </is>
      </c>
    </row>
    <row r="22">
      <c r="A22" s="4" t="inlineStr">
        <is>
          <t>Key risks to underwrite</t>
        </is>
      </c>
      <c r="B22" s="19" t="n"/>
      <c r="C22" s="19" t="n"/>
    </row>
    <row r="23">
      <c r="A23" s="6" t="inlineStr"/>
      <c r="C23" s="47" t="inlineStr">
        <is>
          <t>Ciclicità degli investimenti oil&amp;gas: un rallentamento del capex dei clienti finali comprime volumi e assorbe circolante.</t>
        </is>
      </c>
    </row>
    <row r="24">
      <c r="A24" s="6" t="inlineStr"/>
      <c r="C24" s="47" t="inlineStr">
        <is>
          <t>Concentrazione su pochi clienti EPC/utilities e rischio di gare a prezzo con erosione dei margini.</t>
        </is>
      </c>
    </row>
    <row r="25">
      <c r="A25" s="6" t="inlineStr"/>
      <c r="C25" s="47" t="inlineStr">
        <is>
          <t>Volatilità dei costi di fusioni, forgiati e acciai speciali, con difficoltà di ribaltamento su contratti a prezzo fisso.</t>
        </is>
      </c>
    </row>
    <row r="26">
      <c r="A26" s="6" t="inlineStr"/>
      <c r="C26" s="47" t="inlineStr">
        <is>
          <t>Assorbimento di capitale circolante elevato su commesse lunghe, che riduce la capacità di cash sweep.</t>
        </is>
      </c>
    </row>
    <row r="27">
      <c r="A27" s="6" t="inlineStr"/>
      <c r="C27" s="47" t="inlineStr">
        <is>
          <t>Rischio di esecuzione/qualità e costi di riorganizzazione su quattro stabilimenti potenzialmente sotto-utilizzati.</t>
        </is>
      </c>
    </row>
    <row r="29">
      <c r="A29" s="4" t="inlineStr">
        <is>
          <t>Modelling conventions</t>
        </is>
      </c>
      <c r="B29" s="19" t="n"/>
      <c r="C29" s="19" t="n"/>
    </row>
    <row r="30">
      <c r="A30" s="6" t="inlineStr"/>
      <c r="C30" s="47" t="inlineStr">
        <is>
          <t>Interest on opening balances of every tranche: no circular reference, no iterative calculation.</t>
        </is>
      </c>
    </row>
    <row r="31">
      <c r="A31" s="6" t="inlineStr"/>
      <c r="C31" s="47" t="inlineStr">
        <is>
          <t>Cash waterfall: FCF + opening surplus cash -&gt; Term Loan mandatory amortization -&gt; shortfall drawn on RCF / surplus repays RCF first, then sweeps the Term Loan -&gt; remainder kept as cash.</t>
        </is>
      </c>
    </row>
    <row r="32">
      <c r="A32" s="6" t="inlineStr"/>
      <c r="C32" s="47" t="inlineStr">
        <is>
          <t>Subordinated Notes are bullet and non-call: repaid at exit out of the equity value.</t>
        </is>
      </c>
    </row>
    <row r="33">
      <c r="A33" s="6" t="inlineStr"/>
      <c r="C33" s="47" t="inlineStr">
        <is>
          <t>Exit: final-year EBITDA x exit multiple, less net debt (Term Loan + Sub Notes + RCF - cash).</t>
        </is>
      </c>
    </row>
    <row r="34">
      <c r="A34" s="6" t="inlineStr"/>
      <c r="C34" s="47" t="inlineStr">
        <is>
          <t>Not modelled: transaction fees / OID, interest income on cash, RCF commitment fee, tax-loss carry-forwards, dividends / recaps, management equity.</t>
        </is>
      </c>
    </row>
    <row r="35">
      <c r="A35" s="6" t="inlineStr"/>
      <c r="C35" s="47" t="inlineStr">
        <is>
          <t>Only two equity cash flows, so IRR = MOIC ^ (1 / years) - 1; Excel IRR() is shown as a cross-check.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2026-09-23T02:59:06Z</dcterms:created>
  <dcterms:modified xsi:type="dcterms:W3CDTF">2026-09-23T02:59:06Z</dcterms:modified>
</cp:coreProperties>
</file>